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nskruti Chavan\Downloads\"/>
    </mc:Choice>
  </mc:AlternateContent>
  <xr:revisionPtr revIDLastSave="0" documentId="13_ncr:1_{D4F8934D-74E3-47DB-90F7-8DAA7D01C5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Personal finances" sheetId="2" r:id="rId2"/>
    <sheet name="Pivots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5" i="2" l="1"/>
  <c r="L15" i="2"/>
  <c r="N15" i="2" s="1"/>
  <c r="M14" i="2"/>
  <c r="L14" i="2"/>
  <c r="N14" i="2" s="1"/>
  <c r="M13" i="2"/>
  <c r="N13" i="2" s="1"/>
  <c r="L13" i="2"/>
  <c r="M12" i="2"/>
  <c r="L12" i="2"/>
  <c r="N12" i="2" s="1"/>
  <c r="M11" i="2"/>
  <c r="L11" i="2"/>
  <c r="N11" i="2" s="1"/>
  <c r="M10" i="2"/>
  <c r="N10" i="2" s="1"/>
  <c r="L10" i="2"/>
  <c r="N9" i="2"/>
  <c r="M9" i="2"/>
  <c r="L9" i="2"/>
  <c r="M8" i="2"/>
  <c r="L8" i="2"/>
  <c r="N8" i="2" s="1"/>
  <c r="M7" i="2"/>
  <c r="L7" i="2"/>
  <c r="N7" i="2" s="1"/>
  <c r="M6" i="2"/>
  <c r="L6" i="2"/>
  <c r="N6" i="2" s="1"/>
  <c r="M5" i="2"/>
  <c r="L5" i="2"/>
  <c r="N5" i="2" s="1"/>
  <c r="M4" i="2"/>
  <c r="N4" i="2" s="1"/>
  <c r="L4" i="2"/>
  <c r="M3" i="2"/>
  <c r="L3" i="2"/>
  <c r="N3" i="2" s="1"/>
</calcChain>
</file>

<file path=xl/sharedStrings.xml><?xml version="1.0" encoding="utf-8"?>
<sst xmlns="http://schemas.openxmlformats.org/spreadsheetml/2006/main" count="199" uniqueCount="97">
  <si>
    <t>Months</t>
  </si>
  <si>
    <t>Income</t>
  </si>
  <si>
    <t>Essentials</t>
  </si>
  <si>
    <t>Spendings</t>
  </si>
  <si>
    <t>Investments</t>
  </si>
  <si>
    <t>Expenses</t>
  </si>
  <si>
    <t>Savings</t>
  </si>
  <si>
    <t>Month</t>
  </si>
  <si>
    <t>Travel</t>
  </si>
  <si>
    <t>Food</t>
  </si>
  <si>
    <t>Shopping</t>
  </si>
  <si>
    <t>Mobile</t>
  </si>
  <si>
    <t>OTT</t>
  </si>
  <si>
    <t>RD</t>
  </si>
  <si>
    <t>MF</t>
  </si>
  <si>
    <t>PPF</t>
  </si>
  <si>
    <t>EPF</t>
  </si>
  <si>
    <t>Total Expenses</t>
  </si>
  <si>
    <t>Total Investment</t>
  </si>
  <si>
    <t>Jan</t>
  </si>
  <si>
    <t>Feb</t>
  </si>
  <si>
    <t>Mar</t>
  </si>
  <si>
    <t>Apr</t>
  </si>
  <si>
    <t>May</t>
  </si>
  <si>
    <t>Jun</t>
  </si>
  <si>
    <t>July</t>
  </si>
  <si>
    <t>Jul</t>
  </si>
  <si>
    <t>Aug</t>
  </si>
  <si>
    <t>Sep</t>
  </si>
  <si>
    <t>Oct</t>
  </si>
  <si>
    <t>Nov</t>
  </si>
  <si>
    <t>Dec</t>
  </si>
  <si>
    <t xml:space="preserve">  Personal Finance Dashboard  — Annual Overview</t>
  </si>
  <si>
    <t>Total Income</t>
  </si>
  <si>
    <t>Total Invested</t>
  </si>
  <si>
    <t>Total Savings</t>
  </si>
  <si>
    <t>₹292,000</t>
  </si>
  <si>
    <t>₹120,865</t>
  </si>
  <si>
    <t>₹93,600</t>
  </si>
  <si>
    <t>₹77,535</t>
  </si>
  <si>
    <t>Annual gross</t>
  </si>
  <si>
    <t>41% of income</t>
  </si>
  <si>
    <t>32% of income</t>
  </si>
  <si>
    <t>27% of income</t>
  </si>
  <si>
    <t>Best Saving Month</t>
  </si>
  <si>
    <t>Worst Expense Month</t>
  </si>
  <si>
    <t>Avg Savings Rate</t>
  </si>
  <si>
    <t>Annual Investments</t>
  </si>
  <si>
    <t>26.6%</t>
  </si>
  <si>
    <t>₹9,400 saved</t>
  </si>
  <si>
    <t>₹14,550 spent</t>
  </si>
  <si>
    <t>of monthly income</t>
  </si>
  <si>
    <t>Monthly Financial Overview</t>
  </si>
  <si>
    <t>Income (₹)</t>
  </si>
  <si>
    <t>Expenses (₹)</t>
  </si>
  <si>
    <t>Investments (₹)</t>
  </si>
  <si>
    <t>Savings (₹)</t>
  </si>
  <si>
    <t>Savings Rate</t>
  </si>
  <si>
    <t>Exp. Ratio</t>
  </si>
  <si>
    <t>Status</t>
  </si>
  <si>
    <t>✅ Positive</t>
  </si>
  <si>
    <t>TOTAL</t>
  </si>
  <si>
    <t>Year Done ✅</t>
  </si>
  <si>
    <t>Expense Category Breakdown (Annual Total)</t>
  </si>
  <si>
    <t>₹30,945</t>
  </si>
  <si>
    <t>₹34,920</t>
  </si>
  <si>
    <t>₹41,800</t>
  </si>
  <si>
    <t>₹4,200</t>
  </si>
  <si>
    <t>₹9,000</t>
  </si>
  <si>
    <t>25.6% of expenses</t>
  </si>
  <si>
    <t>28.9% of expenses</t>
  </si>
  <si>
    <t>34.6% of expenses</t>
  </si>
  <si>
    <t>3.5% of expenses</t>
  </si>
  <si>
    <t>7.4% of expenses</t>
  </si>
  <si>
    <t>Investment Breakdown (Annual Total)</t>
  </si>
  <si>
    <t>RD (Recurring Deposit)</t>
  </si>
  <si>
    <t>MF (Mutual Funds)</t>
  </si>
  <si>
    <t>₹24,000</t>
  </si>
  <si>
    <t>₹21,600</t>
  </si>
  <si>
    <t>25.6% of investments</t>
  </si>
  <si>
    <t>23.1% of investments</t>
  </si>
  <si>
    <t>KPI Summary – Annual Rates</t>
  </si>
  <si>
    <t>Monthly Financial Summary</t>
  </si>
  <si>
    <t>Expense Ratio</t>
  </si>
  <si>
    <t>Average</t>
  </si>
  <si>
    <t>Total</t>
  </si>
  <si>
    <t>Expense Breakdown by Category</t>
  </si>
  <si>
    <t>Investment Breakdown by Type</t>
  </si>
  <si>
    <t>Travel (₹)</t>
  </si>
  <si>
    <t>Food (₹)</t>
  </si>
  <si>
    <t>Shopping (₹)</t>
  </si>
  <si>
    <t>Mobile (₹)</t>
  </si>
  <si>
    <t>OTT (₹)</t>
  </si>
  <si>
    <t>RD (₹)</t>
  </si>
  <si>
    <t>MF (₹)</t>
  </si>
  <si>
    <t>PPF (₹)</t>
  </si>
  <si>
    <t>EPF (₹)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</si>
</sst>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0"/>
      <color rgb="FF1F1F1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1F1F1F"/>
      <name val="Arial"/>
      <family val="2"/>
    </font>
    <font>
      <b/>
      <sz val="18"/>
      <color rgb="FFFFFFFF"/>
      <name val="Arial"/>
      <family val="2"/>
    </font>
    <font>
      <b/>
      <sz val="9"/>
      <color rgb="FFFFFFFF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b/>
      <sz val="13"/>
      <color rgb="FFFFFFFF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156082"/>
        <bgColor theme="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156082"/>
      </patternFill>
    </fill>
    <fill>
      <patternFill patternType="solid">
        <fgColor rgb="FFBDD7EE"/>
      </patternFill>
    </fill>
    <fill>
      <patternFill patternType="solid">
        <fgColor rgb="FFC00000"/>
      </patternFill>
    </fill>
    <fill>
      <patternFill patternType="solid">
        <fgColor rgb="FF375623"/>
      </patternFill>
    </fill>
    <fill>
      <patternFill patternType="solid">
        <fgColor rgb="FFC55A11"/>
      </patternFill>
    </fill>
    <fill>
      <patternFill patternType="solid">
        <fgColor rgb="FF7B2D8B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9" fontId="1" fillId="0" borderId="0"/>
  </cellStyleXfs>
  <cellXfs count="81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7" xfId="1" applyNumberFormat="1" applyFont="1" applyFill="1" applyBorder="1" applyAlignment="1">
      <alignment horizontal="center" vertical="center" wrapText="1"/>
    </xf>
    <xf numFmtId="0" fontId="6" fillId="5" borderId="7" xfId="0" pivotButton="1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/>
    </xf>
    <xf numFmtId="164" fontId="4" fillId="6" borderId="7" xfId="0" applyNumberFormat="1" applyFont="1" applyFill="1" applyBorder="1" applyAlignment="1">
      <alignment horizontal="center" vertical="center"/>
    </xf>
    <xf numFmtId="3" fontId="4" fillId="6" borderId="7" xfId="1" applyNumberFormat="1" applyFont="1" applyFill="1" applyBorder="1" applyAlignment="1">
      <alignment horizontal="center" vertical="center"/>
    </xf>
    <xf numFmtId="3" fontId="4" fillId="6" borderId="7" xfId="0" applyNumberFormat="1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4" fillId="7" borderId="7" xfId="1" applyNumberFormat="1" applyFont="1" applyFill="1" applyBorder="1" applyAlignment="1">
      <alignment horizontal="center" vertical="center"/>
    </xf>
    <xf numFmtId="3" fontId="4" fillId="7" borderId="7" xfId="0" applyNumberFormat="1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164" fontId="7" fillId="9" borderId="7" xfId="0" applyNumberFormat="1" applyFont="1" applyFill="1" applyBorder="1" applyAlignment="1">
      <alignment horizontal="center" vertical="center"/>
    </xf>
    <xf numFmtId="3" fontId="7" fillId="9" borderId="7" xfId="0" applyNumberFormat="1" applyFont="1" applyFill="1" applyBorder="1" applyAlignment="1">
      <alignment horizontal="center" vertical="center"/>
    </xf>
    <xf numFmtId="0" fontId="7" fillId="6" borderId="7" xfId="0" pivotButton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11" fillId="4" borderId="0" xfId="0" applyFont="1" applyFill="1" applyAlignment="1">
      <alignment horizontal="center" vertical="center"/>
    </xf>
    <xf numFmtId="0" fontId="0" fillId="0" borderId="0" xfId="0"/>
    <xf numFmtId="164" fontId="4" fillId="7" borderId="0" xfId="0" applyNumberFormat="1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49" fontId="4" fillId="7" borderId="0" xfId="0" applyNumberFormat="1" applyFont="1" applyFill="1" applyAlignment="1">
      <alignment horizontal="center" vertical="center"/>
    </xf>
    <xf numFmtId="164" fontId="4" fillId="15" borderId="0" xfId="0" applyNumberFormat="1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3" fontId="4" fillId="7" borderId="0" xfId="0" applyNumberFormat="1" applyFont="1" applyFill="1" applyAlignment="1">
      <alignment horizontal="center" vertical="center"/>
    </xf>
    <xf numFmtId="0" fontId="12" fillId="11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11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2" fillId="5" borderId="0" xfId="0" applyFont="1" applyFill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49" fontId="4" fillId="6" borderId="0" xfId="0" applyNumberFormat="1" applyFont="1" applyFill="1" applyAlignment="1">
      <alignment horizontal="center" vertical="center"/>
    </xf>
    <xf numFmtId="49" fontId="7" fillId="7" borderId="0" xfId="0" applyNumberFormat="1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9" fillId="5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1" fillId="10" borderId="0" xfId="0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10" fillId="10" borderId="0" xfId="0" applyFont="1" applyFill="1" applyAlignment="1">
      <alignment horizontal="center" vertical="center"/>
    </xf>
    <xf numFmtId="49" fontId="7" fillId="6" borderId="0" xfId="0" applyNumberFormat="1" applyFont="1" applyFill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164" fontId="4" fillId="14" borderId="0" xfId="0" applyNumberFormat="1" applyFont="1" applyFill="1" applyAlignment="1">
      <alignment horizontal="center" vertical="center"/>
    </xf>
    <xf numFmtId="0" fontId="10" fillId="13" borderId="0" xfId="0" applyFont="1" applyFill="1" applyAlignment="1">
      <alignment horizontal="center" vertical="center"/>
    </xf>
    <xf numFmtId="49" fontId="6" fillId="4" borderId="0" xfId="0" applyNumberFormat="1" applyFont="1" applyFill="1" applyAlignment="1">
      <alignment horizontal="center" vertical="center"/>
    </xf>
    <xf numFmtId="0" fontId="9" fillId="12" borderId="0" xfId="0" applyFont="1" applyFill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 vertical="center"/>
    </xf>
    <xf numFmtId="0" fontId="4" fillId="16" borderId="6" xfId="0" applyFont="1" applyFill="1" applyBorder="1"/>
    <xf numFmtId="0" fontId="0" fillId="16" borderId="0" xfId="0" applyFill="1"/>
  </cellXfs>
  <cellStyles count="2">
    <cellStyle name="Normal" xfId="0" builtinId="0"/>
    <cellStyle name="Percent" xfId="1" builtinId="5"/>
  </cellStyles>
  <dxfs count="55"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0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3" tint="0.89999084444715716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general" vertical="center" wrapText="1"/>
    </dxf>
    <dxf>
      <numFmt numFmtId="0" formatCode="General"/>
      <alignment horizontal="general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" formatCode="0"/>
      <alignment horizontal="general" vertical="center" wrapText="1"/>
    </dxf>
    <dxf>
      <numFmt numFmtId="1" formatCode="0"/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alignment horizontal="general" vertical="center" wrapText="1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general" vertical="center" wrapText="1"/>
    </dxf>
    <dxf>
      <border>
        <bottom style="thin">
          <color indexed="64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theme="1"/>
        <name val="Aptos Narrow"/>
        <family val="2"/>
        <scheme val="minor"/>
      </font>
      <alignment horizontal="center" vertical="center" wrapText="1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skruti Chavan" refreshedDate="46113.667956944453" createdVersion="8" refreshedVersion="8" minRefreshableVersion="3" recordCount="13" xr:uid="{00000000-000A-0000-FFFF-FFFF09000000}">
  <cacheSource type="worksheet">
    <worksheetSource ref="A2:N15" sheet="Personal finances"/>
  </cacheSource>
  <cacheFields count="14">
    <cacheField name="Month" numFmtId="0">
      <sharedItems count="14">
        <s v="Jan"/>
        <s v="Feb"/>
        <s v="Mar"/>
        <s v="Apr"/>
        <s v="May"/>
        <s v="Jun"/>
        <s v="July"/>
        <s v="Jul"/>
        <s v="Aug"/>
        <s v="Sep"/>
        <s v="Oct"/>
        <s v="Nov"/>
        <s v="Dec"/>
        <s v="Total" u="1"/>
      </sharedItems>
    </cacheField>
    <cacheField name="Income" numFmtId="0">
      <sharedItems containsSemiMixedTypes="0" containsString="0" containsNumber="1" containsInteger="1" minValue="23000" maxValue="25000"/>
    </cacheField>
    <cacheField name="Travel" numFmtId="0">
      <sharedItems containsSemiMixedTypes="0" containsString="0" containsNumber="1" minValue="1200" maxValue="3631.2"/>
    </cacheField>
    <cacheField name="Food" numFmtId="0">
      <sharedItems containsSemiMixedTypes="0" containsString="0" containsNumber="1" containsInteger="1" minValue="1720" maxValue="4000"/>
    </cacheField>
    <cacheField name="Shopping" numFmtId="0">
      <sharedItems containsSemiMixedTypes="0" containsString="0" containsNumber="1" containsInteger="1" minValue="900" maxValue="6550"/>
    </cacheField>
    <cacheField name="Mobile" numFmtId="0">
      <sharedItems containsSemiMixedTypes="0" containsString="0" containsNumber="1" containsInteger="1" minValue="350" maxValue="350"/>
    </cacheField>
    <cacheField name="OTT" numFmtId="0">
      <sharedItems containsSemiMixedTypes="0" containsString="0" containsNumber="1" containsInteger="1" minValue="750" maxValue="750"/>
    </cacheField>
    <cacheField name="RD" numFmtId="0">
      <sharedItems containsSemiMixedTypes="0" containsString="0" containsNumber="1" containsInteger="1" minValue="2000" maxValue="2000"/>
    </cacheField>
    <cacheField name="MF" numFmtId="0">
      <sharedItems containsSemiMixedTypes="0" containsString="0" containsNumber="1" containsInteger="1" minValue="2000" maxValue="2000"/>
    </cacheField>
    <cacheField name="PPF" numFmtId="0">
      <sharedItems containsSemiMixedTypes="0" containsString="0" containsNumber="1" containsInteger="1" minValue="2000" maxValue="2000"/>
    </cacheField>
    <cacheField name="EPF" numFmtId="0">
      <sharedItems containsSemiMixedTypes="0" containsString="0" containsNumber="1" containsInteger="1" minValue="1800" maxValue="1800"/>
    </cacheField>
    <cacheField name="Total Expenses" numFmtId="0">
      <sharedItems containsSemiMixedTypes="0" containsString="0" containsNumber="1" minValue="7800" maxValue="14550"/>
    </cacheField>
    <cacheField name="Total Investment" numFmtId="0">
      <sharedItems containsSemiMixedTypes="0" containsString="0" containsNumber="1" containsInteger="1" minValue="7800" maxValue="7800"/>
    </cacheField>
    <cacheField name="Savings" numFmtId="0">
      <sharedItems containsSemiMixedTypes="0" containsString="0" containsNumber="1" minValue="650" maxValue="9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13">
  <r>
    <x v="0"/>
    <n v="23000"/>
    <n v="3050"/>
    <n v="2700"/>
    <n v="5000"/>
    <n v="350"/>
    <n v="750"/>
    <n v="2000"/>
    <n v="2000"/>
    <n v="2000"/>
    <n v="1800"/>
    <n v="11850"/>
    <n v="7800"/>
    <n v="3350"/>
  </r>
  <r>
    <x v="1"/>
    <n v="23000"/>
    <n v="3572"/>
    <n v="1900"/>
    <n v="4200"/>
    <n v="350"/>
    <n v="750"/>
    <n v="2000"/>
    <n v="2000"/>
    <n v="2000"/>
    <n v="1800"/>
    <n v="10772"/>
    <n v="7800"/>
    <n v="4428"/>
  </r>
  <r>
    <x v="2"/>
    <n v="23000"/>
    <n v="2950"/>
    <n v="4000"/>
    <n v="6500"/>
    <n v="350"/>
    <n v="750"/>
    <n v="2000"/>
    <n v="2000"/>
    <n v="2000"/>
    <n v="1800"/>
    <n v="14550"/>
    <n v="7800"/>
    <n v="650"/>
  </r>
  <r>
    <x v="3"/>
    <n v="23000"/>
    <n v="3224"/>
    <n v="2800"/>
    <n v="900"/>
    <n v="350"/>
    <n v="750"/>
    <n v="2000"/>
    <n v="2000"/>
    <n v="2000"/>
    <n v="1800"/>
    <n v="8024"/>
    <n v="7800"/>
    <n v="7176"/>
  </r>
  <r>
    <x v="4"/>
    <n v="25000"/>
    <n v="3580"/>
    <n v="1720"/>
    <n v="1400"/>
    <n v="350"/>
    <n v="750"/>
    <n v="2000"/>
    <n v="2000"/>
    <n v="2000"/>
    <n v="1800"/>
    <n v="7800"/>
    <n v="7800"/>
    <n v="9400"/>
  </r>
  <r>
    <x v="5"/>
    <n v="25000"/>
    <n v="3488"/>
    <n v="3500"/>
    <n v="3200"/>
    <n v="350"/>
    <n v="750"/>
    <n v="2000"/>
    <n v="2000"/>
    <n v="2000"/>
    <n v="1800"/>
    <n v="11288"/>
    <n v="7800"/>
    <n v="5912"/>
  </r>
  <r>
    <x v="6"/>
    <n v="25000"/>
    <n v="3560"/>
    <n v="2780"/>
    <n v="6550"/>
    <n v="350"/>
    <n v="750"/>
    <n v="2000"/>
    <n v="2000"/>
    <n v="2000"/>
    <n v="1800"/>
    <n v="13990"/>
    <n v="7800"/>
    <n v="3210"/>
  </r>
  <r>
    <x v="7"/>
    <n v="25000"/>
    <n v="3631.2"/>
    <n v="2800"/>
    <n v="2050"/>
    <n v="350"/>
    <n v="750"/>
    <n v="2000"/>
    <n v="2000"/>
    <n v="2000"/>
    <n v="1800"/>
    <n v="9581.200000000001"/>
    <n v="7800"/>
    <n v="7618.799999999999"/>
  </r>
  <r>
    <x v="8"/>
    <n v="25000"/>
    <n v="1650"/>
    <n v="3100"/>
    <n v="2050"/>
    <n v="350"/>
    <n v="750"/>
    <n v="2000"/>
    <n v="2000"/>
    <n v="2000"/>
    <n v="1800"/>
    <n v="7900"/>
    <n v="7800"/>
    <n v="9300"/>
  </r>
  <r>
    <x v="9"/>
    <n v="25000"/>
    <n v="1500"/>
    <n v="2700"/>
    <n v="3500"/>
    <n v="350"/>
    <n v="750"/>
    <n v="2000"/>
    <n v="2000"/>
    <n v="2000"/>
    <n v="1800"/>
    <n v="8800"/>
    <n v="7800"/>
    <n v="8400"/>
  </r>
  <r>
    <x v="10"/>
    <n v="25000"/>
    <n v="1350"/>
    <n v="3000"/>
    <n v="3500"/>
    <n v="350"/>
    <n v="750"/>
    <n v="2000"/>
    <n v="2000"/>
    <n v="2000"/>
    <n v="1800"/>
    <n v="8950"/>
    <n v="7800"/>
    <n v="8250"/>
  </r>
  <r>
    <x v="11"/>
    <n v="25000"/>
    <n v="1200"/>
    <n v="3100"/>
    <n v="5000"/>
    <n v="350"/>
    <n v="750"/>
    <n v="2000"/>
    <n v="2000"/>
    <n v="2000"/>
    <n v="1800"/>
    <n v="10400"/>
    <n v="7800"/>
    <n v="6800"/>
  </r>
  <r>
    <x v="12"/>
    <n v="25000"/>
    <n v="1750"/>
    <n v="3600"/>
    <n v="4500"/>
    <n v="350"/>
    <n v="750"/>
    <n v="2000"/>
    <n v="2000"/>
    <n v="2000"/>
    <n v="1800"/>
    <n v="10950"/>
    <n v="7800"/>
    <n v="62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2:K16" firstHeaderRow="0" firstDataRow="1" firstDataCol="1"/>
  <pivotFields count="14">
    <pivotField axis="axisRow" showAll="0">
      <items count="15"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6"/>
        <item m="1"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Expenses" fld="11" baseField="0" baseItem="0"/>
    <dataField name="Sum of Savings" fld="13" baseField="0" baseItem="0"/>
    <dataField name="Sum of Total Investment" fld="12" baseField="0" baseItem="0"/>
  </dataFields>
  <formats count="12">
    <format dxfId="23">
      <pivotArea outline="0" collapsedLevelsAreSubtotals="1" fieldPosition="0"/>
    </format>
    <format dxfId="22">
      <pivotArea dataOnly="0" labelOnly="1" fieldPosition="0">
        <references count="1">
          <reference field="0" count="0"/>
        </references>
      </pivotArea>
    </format>
    <format dxfId="21">
      <pivotArea dataOnly="0" labelOnly="1" grandRow="1" outline="0" fieldPosition="0"/>
    </format>
    <format dxfId="20">
      <pivotArea grandRow="1" outline="0" collapsedLevelsAreSubtotals="1" fieldPosition="0"/>
    </format>
    <format dxfId="19">
      <pivotArea dataOnly="0" labelOnly="1" grandRow="1" outline="0" fieldPosition="0"/>
    </format>
    <format dxfId="18">
      <pivotArea dataOnly="0" outline="0" fieldPosition="0">
        <references count="1">
          <reference field="4294967294" count="2">
            <x v="1"/>
            <x v="2"/>
          </reference>
        </references>
      </pivotArea>
    </format>
    <format dxfId="15">
      <pivotArea collapsedLevelsAreSubtotals="1" fieldPosition="0">
        <references count="2">
          <reference field="4294967294" count="2" selected="0">
            <x v="1"/>
            <x v="2"/>
          </reference>
          <reference field="0" count="10">
            <x v="0"/>
            <x v="1"/>
            <x v="2"/>
            <x v="3"/>
            <x v="4"/>
            <x v="5"/>
            <x v="6"/>
            <x v="7"/>
            <x v="8"/>
            <x v="9"/>
          </reference>
        </references>
      </pivotArea>
    </format>
    <format dxfId="14">
      <pivotArea collapsedLevelsAreSubtotals="1" fieldPosition="0">
        <references count="2">
          <reference field="4294967294" count="2" selected="0">
            <x v="1"/>
            <x v="2"/>
          </reference>
          <reference field="0" count="3">
            <x v="10"/>
            <x v="11"/>
            <x v="12"/>
          </reference>
        </references>
      </pivotArea>
    </format>
    <format dxfId="13">
      <pivotArea field="0" grandRow="1" outline="0" collapsedLevelsAreSubtotals="1" axis="axisRow" fieldPosition="0">
        <references count="1">
          <reference field="4294967294" count="2" selected="0">
            <x v="1"/>
            <x v="2"/>
          </reference>
        </references>
      </pivotArea>
    </format>
    <format dxfId="12">
      <pivotArea outline="0" collapsedLevelsAreSubtotals="1" fieldPosition="0">
        <references count="1">
          <reference field="4294967294" count="2" selected="0">
            <x v="1"/>
            <x v="2"/>
          </reference>
        </references>
      </pivotArea>
    </format>
    <format dxfId="1">
      <pivotArea field="0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9:F33" firstHeaderRow="0" firstDataRow="1" firstDataCol="1"/>
  <pivotFields count="14">
    <pivotField axis="axisRow" showAll="0">
      <items count="15">
        <item x="0"/>
        <item x="1"/>
        <item x="2"/>
        <item x="3"/>
        <item x="4"/>
        <item x="5"/>
        <item x="7"/>
        <item x="8"/>
        <item x="9"/>
        <item x="10"/>
        <item x="11"/>
        <item x="12"/>
        <item x="6"/>
        <item m="1" x="13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Travel" fld="2" baseField="0" baseItem="0"/>
    <dataField name="Sum of Food" fld="3" baseField="0" baseItem="0"/>
    <dataField name="Sum of Shopping" fld="4" baseField="0" baseItem="0"/>
    <dataField name="Sum of Mobile" fld="5" baseField="0" baseItem="0"/>
    <dataField name="Sum of OTT" fld="6" baseField="0" baseItem="0"/>
  </dataFields>
  <formats count="7">
    <format dxfId="17">
      <pivotArea grandRow="1" outline="0" collapsedLevelsAreSubtotals="1" fieldPosition="0"/>
    </format>
    <format dxfId="16">
      <pivotArea dataOnly="0" labelOnly="1" grandRow="1" outline="0" fieldPosition="0"/>
    </format>
    <format dxfId="11">
      <pivotArea field="0" grandRow="1" outline="0" collapsedLevelsAreSubtotals="1" axis="axisRow" fieldPosition="0">
        <references count="1">
          <reference field="4294967294" count="4" selected="0">
            <x v="1"/>
            <x v="2"/>
            <x v="3"/>
            <x v="4"/>
          </reference>
        </references>
      </pivotArea>
    </format>
    <format dxfId="10">
      <pivotArea collapsedLevelsAreSubtotals="1" fieldPosition="0">
        <references count="1">
          <reference field="0" count="1">
            <x v="12"/>
          </reference>
        </references>
      </pivotArea>
    </format>
    <format dxfId="7">
      <pivotArea grandRow="1" outline="0" collapsedLevelsAreSubtotals="1" fieldPosition="0"/>
    </format>
    <format dxfId="5">
      <pivotArea dataOnly="0" labelOnly="1" fieldPosition="0">
        <references count="1">
          <reference field="0" count="1">
            <x v="12"/>
          </reference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N15" totalsRowShown="0" headerRowDxfId="54" dataDxfId="52" headerRowBorderDxfId="53">
  <autoFilter ref="A2:N15" xr:uid="{00000000-0009-0000-0100-000001000000}"/>
  <tableColumns count="14">
    <tableColumn id="1" xr3:uid="{00000000-0010-0000-0000-000001000000}" name="Month" dataDxfId="51" totalsRowDxfId="50"/>
    <tableColumn id="2" xr3:uid="{00000000-0010-0000-0000-000002000000}" name="Income" dataDxfId="49" totalsRowDxfId="48"/>
    <tableColumn id="3" xr3:uid="{00000000-0010-0000-0000-000003000000}" name="Travel" dataDxfId="47" totalsRowDxfId="46"/>
    <tableColumn id="4" xr3:uid="{00000000-0010-0000-0000-000004000000}" name="Food" dataDxfId="45" totalsRowDxfId="44"/>
    <tableColumn id="5" xr3:uid="{00000000-0010-0000-0000-000005000000}" name="Shopping" dataDxfId="43" totalsRowDxfId="42"/>
    <tableColumn id="6" xr3:uid="{00000000-0010-0000-0000-000006000000}" name="Mobile" dataDxfId="41" totalsRowDxfId="40"/>
    <tableColumn id="7" xr3:uid="{00000000-0010-0000-0000-000007000000}" name="OTT" dataDxfId="39" totalsRowDxfId="38"/>
    <tableColumn id="8" xr3:uid="{00000000-0010-0000-0000-000008000000}" name="RD" dataDxfId="37" totalsRowDxfId="36"/>
    <tableColumn id="9" xr3:uid="{00000000-0010-0000-0000-000009000000}" name="MF" dataDxfId="35" totalsRowDxfId="34"/>
    <tableColumn id="10" xr3:uid="{00000000-0010-0000-0000-00000A000000}" name="PPF" dataDxfId="33" totalsRowDxfId="32"/>
    <tableColumn id="11" xr3:uid="{00000000-0010-0000-0000-00000B000000}" name="EPF" dataDxfId="31" totalsRowDxfId="30"/>
    <tableColumn id="12" xr3:uid="{00000000-0010-0000-0000-00000C000000}" name="Total Expenses" dataDxfId="29" totalsRowDxfId="28">
      <calculatedColumnFormula>SUM(Table1[[#This Row],[Travel]:[OTT]])</calculatedColumnFormula>
    </tableColumn>
    <tableColumn id="13" xr3:uid="{00000000-0010-0000-0000-00000D000000}" name="Total Investment" dataDxfId="27" totalsRowDxfId="26">
      <calculatedColumnFormula>SUM(Table1[[#This Row],[RD]:[EPF]])</calculatedColumnFormula>
    </tableColumn>
    <tableColumn id="14" xr3:uid="{00000000-0010-0000-0000-00000E000000}" name="Savings" dataDxfId="25" totalsRowDxfId="24">
      <calculatedColumnFormula>Table1[[#This Row],[Income]]-(Table1[[#This Row],[Total Expenses]]+Table1[[#This Row],[Total Investment]])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A1:P34"/>
  <sheetViews>
    <sheetView tabSelected="1" workbookViewId="0">
      <pane ySplit="11" topLeftCell="A12" activePane="bottomLeft" state="frozen"/>
      <selection pane="bottomLeft" activeCell="H11" sqref="H11:I11"/>
    </sheetView>
  </sheetViews>
  <sheetFormatPr defaultRowHeight="14.4" x14ac:dyDescent="0.3"/>
  <cols>
    <col min="1" max="1" width="10" customWidth="1"/>
    <col min="2" max="5" width="11" customWidth="1"/>
    <col min="6" max="7" width="12" customWidth="1"/>
    <col min="8" max="11" width="11" customWidth="1"/>
    <col min="12" max="16" width="10" customWidth="1"/>
  </cols>
  <sheetData>
    <row r="1" spans="1:16" ht="31.95" customHeight="1" x14ac:dyDescent="0.3">
      <c r="A1" s="66" t="s">
        <v>32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ht="12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</row>
    <row r="3" spans="1:16" ht="19.95" customHeight="1" x14ac:dyDescent="0.3">
      <c r="A3" s="76" t="s">
        <v>33</v>
      </c>
      <c r="B3" s="28"/>
      <c r="C3" s="28"/>
      <c r="D3" s="28"/>
      <c r="E3" s="53" t="s">
        <v>17</v>
      </c>
      <c r="F3" s="28"/>
      <c r="G3" s="28"/>
      <c r="H3" s="28"/>
      <c r="I3" s="75" t="s">
        <v>34</v>
      </c>
      <c r="J3" s="28"/>
      <c r="K3" s="28"/>
      <c r="L3" s="28"/>
      <c r="M3" s="48" t="s">
        <v>35</v>
      </c>
      <c r="N3" s="28"/>
      <c r="O3" s="28"/>
      <c r="P3" s="28"/>
    </row>
    <row r="4" spans="1:16" ht="19.95" customHeight="1" x14ac:dyDescent="0.3">
      <c r="A4" s="70" t="s">
        <v>36</v>
      </c>
      <c r="B4" s="28"/>
      <c r="C4" s="28"/>
      <c r="D4" s="28"/>
      <c r="E4" s="60" t="s">
        <v>37</v>
      </c>
      <c r="F4" s="28"/>
      <c r="G4" s="28"/>
      <c r="H4" s="28"/>
      <c r="I4" s="32" t="s">
        <v>38</v>
      </c>
      <c r="J4" s="28"/>
      <c r="K4" s="28"/>
      <c r="L4" s="28"/>
      <c r="M4" s="40" t="s">
        <v>39</v>
      </c>
      <c r="N4" s="28"/>
      <c r="O4" s="28"/>
      <c r="P4" s="28"/>
    </row>
    <row r="5" spans="1:16" ht="19.95" customHeight="1" x14ac:dyDescent="0.3">
      <c r="A5" s="27" t="s">
        <v>40</v>
      </c>
      <c r="B5" s="28"/>
      <c r="C5" s="28"/>
      <c r="D5" s="28"/>
      <c r="E5" s="58" t="s">
        <v>41</v>
      </c>
      <c r="F5" s="28"/>
      <c r="G5" s="28"/>
      <c r="H5" s="28"/>
      <c r="I5" s="41" t="s">
        <v>42</v>
      </c>
      <c r="J5" s="28"/>
      <c r="K5" s="28"/>
      <c r="L5" s="28"/>
      <c r="M5" s="59" t="s">
        <v>43</v>
      </c>
      <c r="N5" s="28"/>
      <c r="O5" s="28"/>
      <c r="P5" s="28"/>
    </row>
    <row r="6" spans="1:16" ht="19.95" customHeight="1" x14ac:dyDescent="0.3">
      <c r="A6" s="74" t="s">
        <v>44</v>
      </c>
      <c r="B6" s="28"/>
      <c r="C6" s="28"/>
      <c r="D6" s="28"/>
      <c r="E6" s="68" t="s">
        <v>45</v>
      </c>
      <c r="F6" s="28"/>
      <c r="G6" s="28"/>
      <c r="H6" s="28"/>
      <c r="I6" s="55" t="s">
        <v>46</v>
      </c>
      <c r="J6" s="28"/>
      <c r="K6" s="28"/>
      <c r="L6" s="28"/>
      <c r="M6" s="75" t="s">
        <v>47</v>
      </c>
      <c r="N6" s="28"/>
      <c r="O6" s="28"/>
      <c r="P6" s="28"/>
    </row>
    <row r="7" spans="1:16" ht="19.95" customHeight="1" x14ac:dyDescent="0.3">
      <c r="A7" s="43" t="s">
        <v>23</v>
      </c>
      <c r="B7" s="28"/>
      <c r="C7" s="28"/>
      <c r="D7" s="28"/>
      <c r="E7" s="72" t="s">
        <v>21</v>
      </c>
      <c r="F7" s="28"/>
      <c r="G7" s="28"/>
      <c r="H7" s="28"/>
      <c r="I7" s="63" t="s">
        <v>48</v>
      </c>
      <c r="J7" s="28"/>
      <c r="K7" s="28"/>
      <c r="L7" s="28"/>
      <c r="M7" s="32" t="s">
        <v>38</v>
      </c>
      <c r="N7" s="28"/>
      <c r="O7" s="28"/>
      <c r="P7" s="28"/>
    </row>
    <row r="8" spans="1:16" ht="19.95" customHeight="1" x14ac:dyDescent="0.3">
      <c r="A8" s="65" t="s">
        <v>49</v>
      </c>
      <c r="B8" s="28"/>
      <c r="C8" s="28"/>
      <c r="D8" s="28"/>
      <c r="E8" s="42" t="s">
        <v>50</v>
      </c>
      <c r="F8" s="28"/>
      <c r="G8" s="28"/>
      <c r="H8" s="28"/>
      <c r="I8" s="57" t="s">
        <v>51</v>
      </c>
      <c r="J8" s="28"/>
      <c r="K8" s="28"/>
      <c r="L8" s="28"/>
      <c r="M8" s="41" t="s">
        <v>42</v>
      </c>
      <c r="N8" s="28"/>
      <c r="O8" s="28"/>
      <c r="P8" s="28"/>
    </row>
    <row r="9" spans="1:16" ht="10.050000000000001" customHeight="1" x14ac:dyDescent="0.3"/>
    <row r="10" spans="1:16" ht="22.05" customHeight="1" x14ac:dyDescent="0.3">
      <c r="A10" s="52" t="s">
        <v>52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</row>
    <row r="11" spans="1:16" ht="30" customHeight="1" x14ac:dyDescent="0.3">
      <c r="A11" s="54" t="s">
        <v>7</v>
      </c>
      <c r="B11" s="54" t="s">
        <v>53</v>
      </c>
      <c r="C11" s="28"/>
      <c r="D11" s="54" t="s">
        <v>54</v>
      </c>
      <c r="E11" s="28"/>
      <c r="F11" s="54" t="s">
        <v>55</v>
      </c>
      <c r="G11" s="28"/>
      <c r="H11" s="54" t="s">
        <v>56</v>
      </c>
      <c r="I11" s="28"/>
      <c r="J11" s="54" t="s">
        <v>57</v>
      </c>
      <c r="K11" s="28"/>
      <c r="L11" s="54" t="s">
        <v>58</v>
      </c>
      <c r="M11" s="28"/>
      <c r="N11" s="54" t="s">
        <v>59</v>
      </c>
      <c r="O11" s="28"/>
      <c r="P11" s="28"/>
    </row>
    <row r="12" spans="1:16" ht="18" customHeight="1" x14ac:dyDescent="0.3">
      <c r="A12" s="61" t="s">
        <v>19</v>
      </c>
      <c r="B12" s="30">
        <v>23000</v>
      </c>
      <c r="C12" s="28"/>
      <c r="D12" s="30">
        <v>11850</v>
      </c>
      <c r="E12" s="28"/>
      <c r="F12" s="30">
        <v>7800</v>
      </c>
      <c r="G12" s="28"/>
      <c r="H12" s="30">
        <v>3350</v>
      </c>
      <c r="I12" s="28"/>
      <c r="J12" s="39">
        <v>0.1456521739130435</v>
      </c>
      <c r="K12" s="28"/>
      <c r="L12" s="39">
        <v>0.51521739130434785</v>
      </c>
      <c r="M12" s="28"/>
      <c r="N12" s="50" t="s">
        <v>60</v>
      </c>
      <c r="O12" s="28"/>
      <c r="P12" s="28"/>
    </row>
    <row r="13" spans="1:16" ht="18" customHeight="1" x14ac:dyDescent="0.3">
      <c r="A13" s="51" t="s">
        <v>20</v>
      </c>
      <c r="B13" s="37">
        <v>23000</v>
      </c>
      <c r="C13" s="28"/>
      <c r="D13" s="37">
        <v>10772</v>
      </c>
      <c r="E13" s="28"/>
      <c r="F13" s="37">
        <v>7800</v>
      </c>
      <c r="G13" s="28"/>
      <c r="H13" s="37">
        <v>4428</v>
      </c>
      <c r="I13" s="28"/>
      <c r="J13" s="29">
        <v>0.1925217391304348</v>
      </c>
      <c r="K13" s="28"/>
      <c r="L13" s="29">
        <v>0.46834782608695652</v>
      </c>
      <c r="M13" s="28"/>
      <c r="N13" s="33" t="s">
        <v>60</v>
      </c>
      <c r="O13" s="28"/>
      <c r="P13" s="28"/>
    </row>
    <row r="14" spans="1:16" ht="18" customHeight="1" x14ac:dyDescent="0.3">
      <c r="A14" s="61" t="s">
        <v>21</v>
      </c>
      <c r="B14" s="30">
        <v>23000</v>
      </c>
      <c r="C14" s="28"/>
      <c r="D14" s="30">
        <v>14550</v>
      </c>
      <c r="E14" s="28"/>
      <c r="F14" s="30">
        <v>7800</v>
      </c>
      <c r="G14" s="28"/>
      <c r="H14" s="30">
        <v>650</v>
      </c>
      <c r="I14" s="28"/>
      <c r="J14" s="71">
        <v>2.8260869565217391E-2</v>
      </c>
      <c r="K14" s="28"/>
      <c r="L14" s="39">
        <v>0.63260869565217392</v>
      </c>
      <c r="M14" s="28"/>
      <c r="N14" s="50" t="s">
        <v>60</v>
      </c>
      <c r="O14" s="28"/>
      <c r="P14" s="28"/>
    </row>
    <row r="15" spans="1:16" ht="18" customHeight="1" x14ac:dyDescent="0.3">
      <c r="A15" s="51" t="s">
        <v>22</v>
      </c>
      <c r="B15" s="37">
        <v>23000</v>
      </c>
      <c r="C15" s="28"/>
      <c r="D15" s="37">
        <v>8024</v>
      </c>
      <c r="E15" s="28"/>
      <c r="F15" s="37">
        <v>7800</v>
      </c>
      <c r="G15" s="28"/>
      <c r="H15" s="37">
        <v>7176</v>
      </c>
      <c r="I15" s="28"/>
      <c r="J15" s="34">
        <v>0.312</v>
      </c>
      <c r="K15" s="28"/>
      <c r="L15" s="29">
        <v>0.34886956521739132</v>
      </c>
      <c r="M15" s="28"/>
      <c r="N15" s="33" t="s">
        <v>60</v>
      </c>
      <c r="O15" s="28"/>
      <c r="P15" s="28"/>
    </row>
    <row r="16" spans="1:16" ht="18" customHeight="1" x14ac:dyDescent="0.3">
      <c r="A16" s="61" t="s">
        <v>23</v>
      </c>
      <c r="B16" s="30">
        <v>25000</v>
      </c>
      <c r="C16" s="28"/>
      <c r="D16" s="30">
        <v>7800</v>
      </c>
      <c r="E16" s="28"/>
      <c r="F16" s="30">
        <v>7800</v>
      </c>
      <c r="G16" s="28"/>
      <c r="H16" s="30">
        <v>9400</v>
      </c>
      <c r="I16" s="28"/>
      <c r="J16" s="34">
        <v>0.376</v>
      </c>
      <c r="K16" s="28"/>
      <c r="L16" s="39">
        <v>0.312</v>
      </c>
      <c r="M16" s="28"/>
      <c r="N16" s="50" t="s">
        <v>60</v>
      </c>
      <c r="O16" s="28"/>
      <c r="P16" s="28"/>
    </row>
    <row r="17" spans="1:16" ht="18" customHeight="1" x14ac:dyDescent="0.3">
      <c r="A17" s="51" t="s">
        <v>24</v>
      </c>
      <c r="B17" s="37">
        <v>25000</v>
      </c>
      <c r="C17" s="28"/>
      <c r="D17" s="37">
        <v>11288</v>
      </c>
      <c r="E17" s="28"/>
      <c r="F17" s="37">
        <v>7800</v>
      </c>
      <c r="G17" s="28"/>
      <c r="H17" s="37">
        <v>5912</v>
      </c>
      <c r="I17" s="28"/>
      <c r="J17" s="29">
        <v>0.23648</v>
      </c>
      <c r="K17" s="28"/>
      <c r="L17" s="29">
        <v>0.45151999999999998</v>
      </c>
      <c r="M17" s="28"/>
      <c r="N17" s="33" t="s">
        <v>60</v>
      </c>
      <c r="O17" s="28"/>
      <c r="P17" s="28"/>
    </row>
    <row r="18" spans="1:16" ht="18" customHeight="1" x14ac:dyDescent="0.3">
      <c r="A18" s="61" t="s">
        <v>26</v>
      </c>
      <c r="B18" s="30">
        <v>25000</v>
      </c>
      <c r="C18" s="28"/>
      <c r="D18" s="30">
        <v>9581.2000000000007</v>
      </c>
      <c r="E18" s="28"/>
      <c r="F18" s="30">
        <v>7800</v>
      </c>
      <c r="G18" s="28"/>
      <c r="H18" s="30">
        <v>7618.7999999999993</v>
      </c>
      <c r="I18" s="28"/>
      <c r="J18" s="34">
        <v>0.30475200000000002</v>
      </c>
      <c r="K18" s="28"/>
      <c r="L18" s="39">
        <v>0.38324799999999998</v>
      </c>
      <c r="M18" s="28"/>
      <c r="N18" s="50" t="s">
        <v>60</v>
      </c>
      <c r="O18" s="28"/>
      <c r="P18" s="28"/>
    </row>
    <row r="19" spans="1:16" ht="18" customHeight="1" x14ac:dyDescent="0.3">
      <c r="A19" s="51" t="s">
        <v>27</v>
      </c>
      <c r="B19" s="37">
        <v>25000</v>
      </c>
      <c r="C19" s="28"/>
      <c r="D19" s="37">
        <v>7900</v>
      </c>
      <c r="E19" s="28"/>
      <c r="F19" s="37">
        <v>7800</v>
      </c>
      <c r="G19" s="28"/>
      <c r="H19" s="37">
        <v>9300</v>
      </c>
      <c r="I19" s="28"/>
      <c r="J19" s="34">
        <v>0.372</v>
      </c>
      <c r="K19" s="28"/>
      <c r="L19" s="29">
        <v>0.316</v>
      </c>
      <c r="M19" s="28"/>
      <c r="N19" s="33" t="s">
        <v>60</v>
      </c>
      <c r="O19" s="28"/>
      <c r="P19" s="28"/>
    </row>
    <row r="20" spans="1:16" ht="18" customHeight="1" x14ac:dyDescent="0.3">
      <c r="A20" s="61" t="s">
        <v>28</v>
      </c>
      <c r="B20" s="30">
        <v>25000</v>
      </c>
      <c r="C20" s="28"/>
      <c r="D20" s="30">
        <v>8800</v>
      </c>
      <c r="E20" s="28"/>
      <c r="F20" s="30">
        <v>7800</v>
      </c>
      <c r="G20" s="28"/>
      <c r="H20" s="30">
        <v>8400</v>
      </c>
      <c r="I20" s="28"/>
      <c r="J20" s="34">
        <v>0.33600000000000002</v>
      </c>
      <c r="K20" s="28"/>
      <c r="L20" s="39">
        <v>0.35199999999999998</v>
      </c>
      <c r="M20" s="28"/>
      <c r="N20" s="50" t="s">
        <v>60</v>
      </c>
      <c r="O20" s="28"/>
      <c r="P20" s="28"/>
    </row>
    <row r="21" spans="1:16" ht="18" customHeight="1" x14ac:dyDescent="0.3">
      <c r="A21" s="51" t="s">
        <v>29</v>
      </c>
      <c r="B21" s="37">
        <v>25000</v>
      </c>
      <c r="C21" s="28"/>
      <c r="D21" s="37">
        <v>8950</v>
      </c>
      <c r="E21" s="28"/>
      <c r="F21" s="37">
        <v>7800</v>
      </c>
      <c r="G21" s="28"/>
      <c r="H21" s="37">
        <v>8250</v>
      </c>
      <c r="I21" s="28"/>
      <c r="J21" s="34">
        <v>0.33</v>
      </c>
      <c r="K21" s="28"/>
      <c r="L21" s="29">
        <v>0.35799999999999998</v>
      </c>
      <c r="M21" s="28"/>
      <c r="N21" s="33" t="s">
        <v>60</v>
      </c>
      <c r="O21" s="28"/>
      <c r="P21" s="28"/>
    </row>
    <row r="22" spans="1:16" ht="18" customHeight="1" x14ac:dyDescent="0.3">
      <c r="A22" s="61" t="s">
        <v>30</v>
      </c>
      <c r="B22" s="30">
        <v>25000</v>
      </c>
      <c r="C22" s="28"/>
      <c r="D22" s="30">
        <v>10400</v>
      </c>
      <c r="E22" s="28"/>
      <c r="F22" s="30">
        <v>7800</v>
      </c>
      <c r="G22" s="28"/>
      <c r="H22" s="30">
        <v>6800</v>
      </c>
      <c r="I22" s="28"/>
      <c r="J22" s="39">
        <v>0.27200000000000002</v>
      </c>
      <c r="K22" s="28"/>
      <c r="L22" s="39">
        <v>0.41599999999999998</v>
      </c>
      <c r="M22" s="28"/>
      <c r="N22" s="50" t="s">
        <v>60</v>
      </c>
      <c r="O22" s="28"/>
      <c r="P22" s="28"/>
    </row>
    <row r="23" spans="1:16" ht="18" customHeight="1" x14ac:dyDescent="0.3">
      <c r="A23" s="51" t="s">
        <v>31</v>
      </c>
      <c r="B23" s="37">
        <v>25000</v>
      </c>
      <c r="C23" s="28"/>
      <c r="D23" s="37">
        <v>10950</v>
      </c>
      <c r="E23" s="28"/>
      <c r="F23" s="37">
        <v>7800</v>
      </c>
      <c r="G23" s="28"/>
      <c r="H23" s="37">
        <v>6250</v>
      </c>
      <c r="I23" s="28"/>
      <c r="J23" s="29">
        <v>0.25</v>
      </c>
      <c r="K23" s="28"/>
      <c r="L23" s="29">
        <v>0.438</v>
      </c>
      <c r="M23" s="28"/>
      <c r="N23" s="33" t="s">
        <v>60</v>
      </c>
      <c r="O23" s="28"/>
      <c r="P23" s="28"/>
    </row>
    <row r="24" spans="1:16" ht="19.95" customHeight="1" x14ac:dyDescent="0.3">
      <c r="A24" s="56" t="s">
        <v>61</v>
      </c>
      <c r="B24" s="44">
        <v>292000</v>
      </c>
      <c r="C24" s="28"/>
      <c r="D24" s="44">
        <v>120865.2</v>
      </c>
      <c r="E24" s="28"/>
      <c r="F24" s="44">
        <v>93600</v>
      </c>
      <c r="G24" s="28"/>
      <c r="H24" s="44">
        <v>77534.8</v>
      </c>
      <c r="I24" s="28"/>
      <c r="J24" s="67">
        <v>0.2655301369863014</v>
      </c>
      <c r="K24" s="28"/>
      <c r="L24" s="67">
        <v>0.41392191780821919</v>
      </c>
      <c r="M24" s="28"/>
      <c r="N24" s="73" t="s">
        <v>62</v>
      </c>
      <c r="O24" s="28"/>
      <c r="P24" s="28"/>
    </row>
    <row r="25" spans="1:16" ht="10.050000000000001" customHeight="1" x14ac:dyDescent="0.3"/>
    <row r="26" spans="1:16" ht="22.05" customHeight="1" x14ac:dyDescent="0.3">
      <c r="A26" s="45" t="s">
        <v>63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</row>
    <row r="27" spans="1:16" ht="19.95" customHeight="1" x14ac:dyDescent="0.3">
      <c r="A27" s="69" t="s">
        <v>8</v>
      </c>
      <c r="B27" s="28"/>
      <c r="C27" s="28"/>
      <c r="D27" s="36" t="s">
        <v>9</v>
      </c>
      <c r="E27" s="28"/>
      <c r="F27" s="28"/>
      <c r="G27" s="62" t="s">
        <v>10</v>
      </c>
      <c r="H27" s="28"/>
      <c r="I27" s="28"/>
      <c r="J27" s="31" t="s">
        <v>11</v>
      </c>
      <c r="K27" s="28"/>
      <c r="L27" s="28"/>
      <c r="M27" s="35" t="s">
        <v>12</v>
      </c>
      <c r="N27" s="28"/>
      <c r="O27" s="28"/>
    </row>
    <row r="28" spans="1:16" ht="19.95" customHeight="1" x14ac:dyDescent="0.3">
      <c r="A28" s="46" t="s">
        <v>64</v>
      </c>
      <c r="B28" s="28"/>
      <c r="C28" s="28"/>
      <c r="D28" s="38" t="s">
        <v>65</v>
      </c>
      <c r="E28" s="28"/>
      <c r="F28" s="28"/>
      <c r="G28" s="49" t="s">
        <v>66</v>
      </c>
      <c r="H28" s="28"/>
      <c r="I28" s="28"/>
      <c r="J28" s="64" t="s">
        <v>67</v>
      </c>
      <c r="K28" s="28"/>
      <c r="L28" s="28"/>
      <c r="M28" s="47" t="s">
        <v>68</v>
      </c>
      <c r="N28" s="28"/>
      <c r="O28" s="28"/>
    </row>
    <row r="29" spans="1:16" ht="19.95" customHeight="1" x14ac:dyDescent="0.3">
      <c r="A29" s="57" t="s">
        <v>69</v>
      </c>
      <c r="B29" s="28"/>
      <c r="C29" s="28"/>
      <c r="D29" s="41" t="s">
        <v>70</v>
      </c>
      <c r="E29" s="28"/>
      <c r="F29" s="28"/>
      <c r="G29" s="65" t="s">
        <v>71</v>
      </c>
      <c r="H29" s="28"/>
      <c r="I29" s="28"/>
      <c r="J29" s="42" t="s">
        <v>72</v>
      </c>
      <c r="K29" s="28"/>
      <c r="L29" s="28"/>
      <c r="M29" s="59" t="s">
        <v>73</v>
      </c>
      <c r="N29" s="28"/>
      <c r="O29" s="28"/>
    </row>
    <row r="30" spans="1:16" ht="10.050000000000001" customHeight="1" x14ac:dyDescent="0.3"/>
    <row r="31" spans="1:16" ht="22.05" customHeight="1" x14ac:dyDescent="0.3">
      <c r="A31" s="45" t="s">
        <v>74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</row>
    <row r="32" spans="1:16" ht="19.95" customHeight="1" x14ac:dyDescent="0.3">
      <c r="A32" s="69" t="s">
        <v>75</v>
      </c>
      <c r="B32" s="28"/>
      <c r="C32" s="28"/>
      <c r="D32" s="28"/>
      <c r="E32" s="36" t="s">
        <v>76</v>
      </c>
      <c r="F32" s="28"/>
      <c r="G32" s="28"/>
      <c r="H32" s="28"/>
      <c r="I32" s="62" t="s">
        <v>15</v>
      </c>
      <c r="J32" s="28"/>
      <c r="K32" s="28"/>
      <c r="L32" s="28"/>
      <c r="M32" s="35" t="s">
        <v>16</v>
      </c>
      <c r="N32" s="28"/>
      <c r="O32" s="28"/>
      <c r="P32" s="28"/>
    </row>
    <row r="33" spans="1:16" ht="19.95" customHeight="1" x14ac:dyDescent="0.3">
      <c r="A33" s="46" t="s">
        <v>77</v>
      </c>
      <c r="B33" s="28"/>
      <c r="C33" s="28"/>
      <c r="D33" s="28"/>
      <c r="E33" s="38" t="s">
        <v>77</v>
      </c>
      <c r="F33" s="28"/>
      <c r="G33" s="28"/>
      <c r="H33" s="28"/>
      <c r="I33" s="49" t="s">
        <v>77</v>
      </c>
      <c r="J33" s="28"/>
      <c r="K33" s="28"/>
      <c r="L33" s="28"/>
      <c r="M33" s="47" t="s">
        <v>78</v>
      </c>
      <c r="N33" s="28"/>
      <c r="O33" s="28"/>
      <c r="P33" s="28"/>
    </row>
    <row r="34" spans="1:16" ht="19.95" customHeight="1" x14ac:dyDescent="0.3">
      <c r="A34" s="57" t="s">
        <v>79</v>
      </c>
      <c r="B34" s="28"/>
      <c r="C34" s="28"/>
      <c r="D34" s="28"/>
      <c r="E34" s="41" t="s">
        <v>79</v>
      </c>
      <c r="F34" s="28"/>
      <c r="G34" s="28"/>
      <c r="H34" s="28"/>
      <c r="I34" s="65" t="s">
        <v>79</v>
      </c>
      <c r="J34" s="28"/>
      <c r="K34" s="28"/>
      <c r="L34" s="28"/>
      <c r="M34" s="59" t="s">
        <v>80</v>
      </c>
      <c r="N34" s="28"/>
      <c r="O34" s="28"/>
      <c r="P34" s="28"/>
    </row>
  </sheetData>
  <mergeCells count="167">
    <mergeCell ref="A6:D6"/>
    <mergeCell ref="D18:E18"/>
    <mergeCell ref="A12"/>
    <mergeCell ref="N16:P16"/>
    <mergeCell ref="I3:L3"/>
    <mergeCell ref="A21"/>
    <mergeCell ref="H24:I24"/>
    <mergeCell ref="A3:D3"/>
    <mergeCell ref="H18:I18"/>
    <mergeCell ref="J18:K18"/>
    <mergeCell ref="M6:P6"/>
    <mergeCell ref="A14"/>
    <mergeCell ref="I5:L5"/>
    <mergeCell ref="A31:P31"/>
    <mergeCell ref="L15:M15"/>
    <mergeCell ref="B23:C23"/>
    <mergeCell ref="I34:L34"/>
    <mergeCell ref="L23:M23"/>
    <mergeCell ref="E33:H33"/>
    <mergeCell ref="A11"/>
    <mergeCell ref="N15:P15"/>
    <mergeCell ref="D16:E16"/>
    <mergeCell ref="N24:P24"/>
    <mergeCell ref="A34:D34"/>
    <mergeCell ref="J24:K24"/>
    <mergeCell ref="L24:M24"/>
    <mergeCell ref="L18:M18"/>
    <mergeCell ref="M34:P34"/>
    <mergeCell ref="B17:C17"/>
    <mergeCell ref="G29:I29"/>
    <mergeCell ref="D17:E17"/>
    <mergeCell ref="M5:P5"/>
    <mergeCell ref="A28:C28"/>
    <mergeCell ref="H16:I16"/>
    <mergeCell ref="J16:K16"/>
    <mergeCell ref="B19:C19"/>
    <mergeCell ref="F22:G22"/>
    <mergeCell ref="H22:I22"/>
    <mergeCell ref="D12:E12"/>
    <mergeCell ref="N11:P11"/>
    <mergeCell ref="B20:C20"/>
    <mergeCell ref="E6:H6"/>
    <mergeCell ref="L11:M11"/>
    <mergeCell ref="D14:E14"/>
    <mergeCell ref="F14:G14"/>
    <mergeCell ref="A32:D32"/>
    <mergeCell ref="F11:G11"/>
    <mergeCell ref="I33:L33"/>
    <mergeCell ref="N21:P21"/>
    <mergeCell ref="A22"/>
    <mergeCell ref="A8:D8"/>
    <mergeCell ref="A1:P2"/>
    <mergeCell ref="N14:P14"/>
    <mergeCell ref="A20"/>
    <mergeCell ref="N23:P23"/>
    <mergeCell ref="F21:G21"/>
    <mergeCell ref="H21:I21"/>
    <mergeCell ref="A17"/>
    <mergeCell ref="H20:I20"/>
    <mergeCell ref="I8:L8"/>
    <mergeCell ref="A4:D4"/>
    <mergeCell ref="J14:K14"/>
    <mergeCell ref="A27:C27"/>
    <mergeCell ref="E7:H7"/>
    <mergeCell ref="J13:K13"/>
    <mergeCell ref="A19"/>
    <mergeCell ref="L13:M13"/>
    <mergeCell ref="D21:E21"/>
    <mergeCell ref="F12:G12"/>
    <mergeCell ref="F24:G24"/>
    <mergeCell ref="M27:O27"/>
    <mergeCell ref="M3:P3"/>
    <mergeCell ref="G28:I28"/>
    <mergeCell ref="L16:M16"/>
    <mergeCell ref="D19:E19"/>
    <mergeCell ref="N18:P18"/>
    <mergeCell ref="F19:G19"/>
    <mergeCell ref="A23"/>
    <mergeCell ref="B18:C18"/>
    <mergeCell ref="A13"/>
    <mergeCell ref="M28:O28"/>
    <mergeCell ref="A10:P10"/>
    <mergeCell ref="J17:K17"/>
    <mergeCell ref="E3:H3"/>
    <mergeCell ref="B11:C11"/>
    <mergeCell ref="D11:E11"/>
    <mergeCell ref="A15"/>
    <mergeCell ref="F20:G20"/>
    <mergeCell ref="F18:G18"/>
    <mergeCell ref="I6:L6"/>
    <mergeCell ref="A24"/>
    <mergeCell ref="E5:H5"/>
    <mergeCell ref="F17:G17"/>
    <mergeCell ref="H17:I17"/>
    <mergeCell ref="H11:I11"/>
    <mergeCell ref="E34:H34"/>
    <mergeCell ref="H15:I15"/>
    <mergeCell ref="H23:I23"/>
    <mergeCell ref="A26:P26"/>
    <mergeCell ref="J23:K23"/>
    <mergeCell ref="A33:D33"/>
    <mergeCell ref="M33:P33"/>
    <mergeCell ref="B16:C16"/>
    <mergeCell ref="D27:F27"/>
    <mergeCell ref="A29:C29"/>
    <mergeCell ref="M29:O29"/>
    <mergeCell ref="J20:K20"/>
    <mergeCell ref="L20:M20"/>
    <mergeCell ref="A16"/>
    <mergeCell ref="H19:I19"/>
    <mergeCell ref="I32:L32"/>
    <mergeCell ref="N20:P20"/>
    <mergeCell ref="J22:K22"/>
    <mergeCell ref="L22:M22"/>
    <mergeCell ref="B15:C15"/>
    <mergeCell ref="A18"/>
    <mergeCell ref="D15:E15"/>
    <mergeCell ref="G27:I27"/>
    <mergeCell ref="J28:L28"/>
    <mergeCell ref="M32:P32"/>
    <mergeCell ref="E32:H32"/>
    <mergeCell ref="B12:C12"/>
    <mergeCell ref="B21:C21"/>
    <mergeCell ref="D28:F28"/>
    <mergeCell ref="L12:M12"/>
    <mergeCell ref="M4:P4"/>
    <mergeCell ref="N19:P19"/>
    <mergeCell ref="F15:G15"/>
    <mergeCell ref="D13:E13"/>
    <mergeCell ref="B14:C14"/>
    <mergeCell ref="L14:M14"/>
    <mergeCell ref="B13:C13"/>
    <mergeCell ref="D29:F29"/>
    <mergeCell ref="E8:H8"/>
    <mergeCell ref="F23:G23"/>
    <mergeCell ref="A7:D7"/>
    <mergeCell ref="F13:G13"/>
    <mergeCell ref="H13:I13"/>
    <mergeCell ref="J29:L29"/>
    <mergeCell ref="J21:K21"/>
    <mergeCell ref="B24:C24"/>
    <mergeCell ref="L21:M21"/>
    <mergeCell ref="D24:E24"/>
    <mergeCell ref="A5:D5"/>
    <mergeCell ref="L17:M17"/>
    <mergeCell ref="D20:E20"/>
    <mergeCell ref="F16:G16"/>
    <mergeCell ref="J27:L27"/>
    <mergeCell ref="I4:L4"/>
    <mergeCell ref="N17:P17"/>
    <mergeCell ref="J19:K19"/>
    <mergeCell ref="B22:C22"/>
    <mergeCell ref="L19:M19"/>
    <mergeCell ref="D22:E22"/>
    <mergeCell ref="M8:P8"/>
    <mergeCell ref="J11:K11"/>
    <mergeCell ref="E4:H4"/>
    <mergeCell ref="I7:L7"/>
    <mergeCell ref="H12:I12"/>
    <mergeCell ref="J12:K12"/>
    <mergeCell ref="M7:P7"/>
    <mergeCell ref="N22:P22"/>
    <mergeCell ref="D23:E23"/>
    <mergeCell ref="H14:I14"/>
    <mergeCell ref="N12:P12"/>
    <mergeCell ref="N13:P13"/>
    <mergeCell ref="J15:K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56082"/>
  </sheetPr>
  <dimension ref="A1:N15"/>
  <sheetViews>
    <sheetView workbookViewId="0">
      <selection activeCell="D11" sqref="D11:E11"/>
    </sheetView>
  </sheetViews>
  <sheetFormatPr defaultRowHeight="14.4" x14ac:dyDescent="0.3"/>
  <cols>
    <col min="2" max="2" width="9.109375" customWidth="1"/>
    <col min="5" max="5" width="10.6640625" customWidth="1"/>
    <col min="12" max="12" width="15.109375" customWidth="1"/>
    <col min="13" max="13" width="16.6640625" customWidth="1"/>
    <col min="14" max="14" width="9.21875" customWidth="1"/>
  </cols>
  <sheetData>
    <row r="1" spans="1:14" ht="28.8" customHeight="1" x14ac:dyDescent="0.3">
      <c r="A1" s="7" t="s">
        <v>0</v>
      </c>
      <c r="B1" s="1" t="s">
        <v>1</v>
      </c>
      <c r="C1" s="24" t="s">
        <v>2</v>
      </c>
      <c r="D1" s="26"/>
      <c r="E1" s="24" t="s">
        <v>3</v>
      </c>
      <c r="F1" s="25"/>
      <c r="G1" s="26"/>
      <c r="H1" s="24" t="s">
        <v>4</v>
      </c>
      <c r="I1" s="25"/>
      <c r="J1" s="25"/>
      <c r="K1" s="26"/>
      <c r="L1" s="1" t="s">
        <v>5</v>
      </c>
      <c r="M1" s="1" t="s">
        <v>4</v>
      </c>
      <c r="N1" s="2" t="s">
        <v>6</v>
      </c>
    </row>
    <row r="2" spans="1:14" x14ac:dyDescent="0.3">
      <c r="A2" s="3" t="s">
        <v>7</v>
      </c>
      <c r="B2" s="3" t="s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3" t="s">
        <v>17</v>
      </c>
      <c r="M2" s="3" t="s">
        <v>18</v>
      </c>
      <c r="N2" s="3" t="s">
        <v>6</v>
      </c>
    </row>
    <row r="3" spans="1:14" x14ac:dyDescent="0.3">
      <c r="A3" s="5" t="s">
        <v>19</v>
      </c>
      <c r="B3" s="5">
        <v>23000</v>
      </c>
      <c r="C3" s="5">
        <v>3050</v>
      </c>
      <c r="D3" s="5">
        <v>2700</v>
      </c>
      <c r="E3" s="5">
        <v>5000</v>
      </c>
      <c r="F3" s="5">
        <v>350</v>
      </c>
      <c r="G3" s="5">
        <v>750</v>
      </c>
      <c r="H3" s="5">
        <v>2000</v>
      </c>
      <c r="I3" s="5">
        <v>2000</v>
      </c>
      <c r="J3" s="5">
        <v>2000</v>
      </c>
      <c r="K3" s="5">
        <v>1800</v>
      </c>
      <c r="L3" s="5">
        <f>SUM(Table1[[#This Row],[Travel]:[OTT]])</f>
        <v>11850</v>
      </c>
      <c r="M3" s="5">
        <f>SUM(Table1[[#This Row],[RD]:[EPF]])</f>
        <v>7800</v>
      </c>
      <c r="N3" s="5">
        <f>Table1[[#This Row],[Income]]-(Table1[[#This Row],[Total Expenses]]+Table1[[#This Row],[Total Investment]])</f>
        <v>3350</v>
      </c>
    </row>
    <row r="4" spans="1:14" x14ac:dyDescent="0.3">
      <c r="A4" s="5" t="s">
        <v>20</v>
      </c>
      <c r="B4" s="5">
        <v>23000</v>
      </c>
      <c r="C4" s="5">
        <v>3572</v>
      </c>
      <c r="D4" s="5">
        <v>1900</v>
      </c>
      <c r="E4" s="5">
        <v>4200</v>
      </c>
      <c r="F4" s="5">
        <v>350</v>
      </c>
      <c r="G4" s="5">
        <v>750</v>
      </c>
      <c r="H4" s="5">
        <v>2000</v>
      </c>
      <c r="I4" s="5">
        <v>2000</v>
      </c>
      <c r="J4" s="5">
        <v>2000</v>
      </c>
      <c r="K4" s="5">
        <v>1800</v>
      </c>
      <c r="L4" s="5">
        <f>SUM(Table1[[#This Row],[Travel]:[OTT]])</f>
        <v>10772</v>
      </c>
      <c r="M4" s="5">
        <f>SUM(Table1[[#This Row],[RD]:[EPF]])</f>
        <v>7800</v>
      </c>
      <c r="N4" s="5">
        <f>Table1[[#This Row],[Income]]-(Table1[[#This Row],[Total Expenses]]+Table1[[#This Row],[Total Investment]])</f>
        <v>4428</v>
      </c>
    </row>
    <row r="5" spans="1:14" x14ac:dyDescent="0.3">
      <c r="A5" s="5" t="s">
        <v>21</v>
      </c>
      <c r="B5" s="5">
        <v>23000</v>
      </c>
      <c r="C5" s="5">
        <v>2950</v>
      </c>
      <c r="D5" s="5">
        <v>4000</v>
      </c>
      <c r="E5" s="5">
        <v>6500</v>
      </c>
      <c r="F5" s="5">
        <v>350</v>
      </c>
      <c r="G5" s="5">
        <v>750</v>
      </c>
      <c r="H5" s="5">
        <v>2000</v>
      </c>
      <c r="I5" s="5">
        <v>2000</v>
      </c>
      <c r="J5" s="5">
        <v>2000</v>
      </c>
      <c r="K5" s="5">
        <v>1800</v>
      </c>
      <c r="L5" s="5">
        <f>SUM(Table1[[#This Row],[Travel]:[OTT]])</f>
        <v>14550</v>
      </c>
      <c r="M5" s="5">
        <f>SUM(Table1[[#This Row],[RD]:[EPF]])</f>
        <v>7800</v>
      </c>
      <c r="N5" s="5">
        <f>Table1[[#This Row],[Income]]-(Table1[[#This Row],[Total Expenses]]+Table1[[#This Row],[Total Investment]])</f>
        <v>650</v>
      </c>
    </row>
    <row r="6" spans="1:14" x14ac:dyDescent="0.3">
      <c r="A6" s="5" t="s">
        <v>22</v>
      </c>
      <c r="B6" s="5">
        <v>23000</v>
      </c>
      <c r="C6" s="5">
        <v>3224</v>
      </c>
      <c r="D6" s="5">
        <v>2800</v>
      </c>
      <c r="E6" s="5">
        <v>900</v>
      </c>
      <c r="F6" s="5">
        <v>350</v>
      </c>
      <c r="G6" s="5">
        <v>750</v>
      </c>
      <c r="H6" s="5">
        <v>2000</v>
      </c>
      <c r="I6" s="5">
        <v>2000</v>
      </c>
      <c r="J6" s="5">
        <v>2000</v>
      </c>
      <c r="K6" s="5">
        <v>1800</v>
      </c>
      <c r="L6" s="5">
        <f>SUM(Table1[[#This Row],[Travel]:[OTT]])</f>
        <v>8024</v>
      </c>
      <c r="M6" s="5">
        <f>SUM(Table1[[#This Row],[RD]:[EPF]])</f>
        <v>7800</v>
      </c>
      <c r="N6" s="5">
        <f>Table1[[#This Row],[Income]]-(Table1[[#This Row],[Total Expenses]]+Table1[[#This Row],[Total Investment]])</f>
        <v>7176</v>
      </c>
    </row>
    <row r="7" spans="1:14" x14ac:dyDescent="0.3">
      <c r="A7" s="5" t="s">
        <v>23</v>
      </c>
      <c r="B7" s="5">
        <v>25000</v>
      </c>
      <c r="C7" s="5">
        <v>3580</v>
      </c>
      <c r="D7" s="5">
        <v>1720</v>
      </c>
      <c r="E7" s="5">
        <v>1400</v>
      </c>
      <c r="F7" s="5">
        <v>350</v>
      </c>
      <c r="G7" s="5">
        <v>750</v>
      </c>
      <c r="H7" s="5">
        <v>2000</v>
      </c>
      <c r="I7" s="5">
        <v>2000</v>
      </c>
      <c r="J7" s="5">
        <v>2000</v>
      </c>
      <c r="K7" s="5">
        <v>1800</v>
      </c>
      <c r="L7" s="5">
        <f>SUM(Table1[[#This Row],[Travel]:[OTT]])</f>
        <v>7800</v>
      </c>
      <c r="M7" s="5">
        <f>SUM(Table1[[#This Row],[RD]:[EPF]])</f>
        <v>7800</v>
      </c>
      <c r="N7" s="5">
        <f>Table1[[#This Row],[Income]]-(Table1[[#This Row],[Total Expenses]]+Table1[[#This Row],[Total Investment]])</f>
        <v>9400</v>
      </c>
    </row>
    <row r="8" spans="1:14" x14ac:dyDescent="0.3">
      <c r="A8" s="5" t="s">
        <v>24</v>
      </c>
      <c r="B8" s="5">
        <v>25000</v>
      </c>
      <c r="C8" s="5">
        <v>3488</v>
      </c>
      <c r="D8" s="5">
        <v>3500</v>
      </c>
      <c r="E8" s="5">
        <v>3200</v>
      </c>
      <c r="F8" s="5">
        <v>350</v>
      </c>
      <c r="G8" s="5">
        <v>750</v>
      </c>
      <c r="H8" s="5">
        <v>2000</v>
      </c>
      <c r="I8" s="5">
        <v>2000</v>
      </c>
      <c r="J8" s="5">
        <v>2000</v>
      </c>
      <c r="K8" s="5">
        <v>1800</v>
      </c>
      <c r="L8" s="5">
        <f>SUM(Table1[[#This Row],[Travel]:[OTT]])</f>
        <v>11288</v>
      </c>
      <c r="M8" s="5">
        <f>SUM(Table1[[#This Row],[RD]:[EPF]])</f>
        <v>7800</v>
      </c>
      <c r="N8" s="5">
        <f>Table1[[#This Row],[Income]]-(Table1[[#This Row],[Total Expenses]]+Table1[[#This Row],[Total Investment]])</f>
        <v>5912</v>
      </c>
    </row>
    <row r="9" spans="1:14" x14ac:dyDescent="0.3">
      <c r="A9" s="5" t="s">
        <v>25</v>
      </c>
      <c r="B9" s="5">
        <v>25000</v>
      </c>
      <c r="C9" s="5">
        <v>3560</v>
      </c>
      <c r="D9" s="5">
        <v>2780</v>
      </c>
      <c r="E9" s="5">
        <v>6550</v>
      </c>
      <c r="F9" s="5">
        <v>350</v>
      </c>
      <c r="G9" s="5">
        <v>750</v>
      </c>
      <c r="H9" s="5">
        <v>2000</v>
      </c>
      <c r="I9" s="5">
        <v>2000</v>
      </c>
      <c r="J9" s="5">
        <v>2000</v>
      </c>
      <c r="K9" s="5">
        <v>1800</v>
      </c>
      <c r="L9" s="5">
        <f>SUM(Table1[[#This Row],[Travel]:[OTT]])</f>
        <v>13990</v>
      </c>
      <c r="M9" s="5">
        <f>SUM(Table1[[#This Row],[RD]:[EPF]])</f>
        <v>7800</v>
      </c>
      <c r="N9" s="5">
        <f>Table1[[#This Row],[Income]]-(Table1[[#This Row],[Total Expenses]]+Table1[[#This Row],[Total Investment]])</f>
        <v>3210</v>
      </c>
    </row>
    <row r="10" spans="1:14" x14ac:dyDescent="0.3">
      <c r="A10" s="5" t="s">
        <v>26</v>
      </c>
      <c r="B10" s="5">
        <v>25000</v>
      </c>
      <c r="C10" s="6">
        <v>3631.2</v>
      </c>
      <c r="D10" s="6">
        <v>2800</v>
      </c>
      <c r="E10" s="5">
        <v>2050</v>
      </c>
      <c r="F10" s="5">
        <v>350</v>
      </c>
      <c r="G10" s="5">
        <v>750</v>
      </c>
      <c r="H10" s="5">
        <v>2000</v>
      </c>
      <c r="I10" s="5">
        <v>2000</v>
      </c>
      <c r="J10" s="5">
        <v>2000</v>
      </c>
      <c r="K10" s="5">
        <v>1800</v>
      </c>
      <c r="L10" s="6">
        <f>SUM(Table1[[#This Row],[Travel]:[OTT]])</f>
        <v>9581.2000000000007</v>
      </c>
      <c r="M10" s="5">
        <f>SUM(Table1[[#This Row],[RD]:[EPF]])</f>
        <v>7800</v>
      </c>
      <c r="N10" s="6">
        <f>Table1[[#This Row],[Income]]-(Table1[[#This Row],[Total Expenses]]+Table1[[#This Row],[Total Investment]])</f>
        <v>7618.7999999999993</v>
      </c>
    </row>
    <row r="11" spans="1:14" x14ac:dyDescent="0.3">
      <c r="A11" s="5" t="s">
        <v>27</v>
      </c>
      <c r="B11" s="5">
        <v>25000</v>
      </c>
      <c r="C11" s="6">
        <v>1650</v>
      </c>
      <c r="D11" s="6">
        <v>3100</v>
      </c>
      <c r="E11" s="5">
        <v>2050</v>
      </c>
      <c r="F11" s="5">
        <v>350</v>
      </c>
      <c r="G11" s="5">
        <v>750</v>
      </c>
      <c r="H11" s="5">
        <v>2000</v>
      </c>
      <c r="I11" s="5">
        <v>2000</v>
      </c>
      <c r="J11" s="5">
        <v>2000</v>
      </c>
      <c r="K11" s="5">
        <v>1800</v>
      </c>
      <c r="L11" s="5">
        <f>SUM(Table1[[#This Row],[Travel]:[OTT]])</f>
        <v>7900</v>
      </c>
      <c r="M11" s="5">
        <f>SUM(Table1[[#This Row],[RD]:[EPF]])</f>
        <v>7800</v>
      </c>
      <c r="N11" s="5">
        <f>Table1[[#This Row],[Income]]-(Table1[[#This Row],[Total Expenses]]+Table1[[#This Row],[Total Investment]])</f>
        <v>9300</v>
      </c>
    </row>
    <row r="12" spans="1:14" x14ac:dyDescent="0.3">
      <c r="A12" s="5" t="s">
        <v>28</v>
      </c>
      <c r="B12" s="5">
        <v>25000</v>
      </c>
      <c r="C12" s="6">
        <v>1500</v>
      </c>
      <c r="D12" s="6">
        <v>2700</v>
      </c>
      <c r="E12" s="5">
        <v>3500</v>
      </c>
      <c r="F12" s="5">
        <v>350</v>
      </c>
      <c r="G12" s="5">
        <v>750</v>
      </c>
      <c r="H12" s="5">
        <v>2000</v>
      </c>
      <c r="I12" s="5">
        <v>2000</v>
      </c>
      <c r="J12" s="5">
        <v>2000</v>
      </c>
      <c r="K12" s="5">
        <v>1800</v>
      </c>
      <c r="L12" s="5">
        <f>SUM(Table1[[#This Row],[Travel]:[OTT]])</f>
        <v>8800</v>
      </c>
      <c r="M12" s="5">
        <f>SUM(Table1[[#This Row],[RD]:[EPF]])</f>
        <v>7800</v>
      </c>
      <c r="N12" s="5">
        <f>Table1[[#This Row],[Income]]-(Table1[[#This Row],[Total Expenses]]+Table1[[#This Row],[Total Investment]])</f>
        <v>8400</v>
      </c>
    </row>
    <row r="13" spans="1:14" x14ac:dyDescent="0.3">
      <c r="A13" s="5" t="s">
        <v>29</v>
      </c>
      <c r="B13" s="5">
        <v>25000</v>
      </c>
      <c r="C13" s="6">
        <v>1350</v>
      </c>
      <c r="D13" s="6">
        <v>3000</v>
      </c>
      <c r="E13" s="5">
        <v>3500</v>
      </c>
      <c r="F13" s="5">
        <v>350</v>
      </c>
      <c r="G13" s="5">
        <v>750</v>
      </c>
      <c r="H13" s="5">
        <v>2000</v>
      </c>
      <c r="I13" s="5">
        <v>2000</v>
      </c>
      <c r="J13" s="5">
        <v>2000</v>
      </c>
      <c r="K13" s="5">
        <v>1800</v>
      </c>
      <c r="L13" s="5">
        <f>SUM(Table1[[#This Row],[Travel]:[OTT]])</f>
        <v>8950</v>
      </c>
      <c r="M13" s="5">
        <f>SUM(Table1[[#This Row],[RD]:[EPF]])</f>
        <v>7800</v>
      </c>
      <c r="N13" s="5">
        <f>Table1[[#This Row],[Income]]-(Table1[[#This Row],[Total Expenses]]+Table1[[#This Row],[Total Investment]])</f>
        <v>8250</v>
      </c>
    </row>
    <row r="14" spans="1:14" x14ac:dyDescent="0.3">
      <c r="A14" s="5" t="s">
        <v>30</v>
      </c>
      <c r="B14" s="5">
        <v>25000</v>
      </c>
      <c r="C14" s="5">
        <v>1200</v>
      </c>
      <c r="D14" s="6">
        <v>3100</v>
      </c>
      <c r="E14" s="5">
        <v>5000</v>
      </c>
      <c r="F14" s="5">
        <v>350</v>
      </c>
      <c r="G14" s="5">
        <v>750</v>
      </c>
      <c r="H14" s="5">
        <v>2000</v>
      </c>
      <c r="I14" s="5">
        <v>2000</v>
      </c>
      <c r="J14" s="5">
        <v>2000</v>
      </c>
      <c r="K14" s="5">
        <v>1800</v>
      </c>
      <c r="L14" s="5">
        <f>SUM(Table1[[#This Row],[Travel]:[OTT]])</f>
        <v>10400</v>
      </c>
      <c r="M14" s="5">
        <f>SUM(Table1[[#This Row],[RD]:[EPF]])</f>
        <v>7800</v>
      </c>
      <c r="N14" s="5">
        <f>Table1[[#This Row],[Income]]-(Table1[[#This Row],[Total Expenses]]+Table1[[#This Row],[Total Investment]])</f>
        <v>6800</v>
      </c>
    </row>
    <row r="15" spans="1:14" x14ac:dyDescent="0.3">
      <c r="A15" s="5" t="s">
        <v>31</v>
      </c>
      <c r="B15" s="5">
        <v>25000</v>
      </c>
      <c r="C15" s="5">
        <v>1750</v>
      </c>
      <c r="D15" s="6">
        <v>3600</v>
      </c>
      <c r="E15" s="5">
        <v>4500</v>
      </c>
      <c r="F15" s="5">
        <v>350</v>
      </c>
      <c r="G15" s="5">
        <v>750</v>
      </c>
      <c r="H15" s="5">
        <v>2000</v>
      </c>
      <c r="I15" s="5">
        <v>2000</v>
      </c>
      <c r="J15" s="5">
        <v>2000</v>
      </c>
      <c r="K15" s="5">
        <v>1800</v>
      </c>
      <c r="L15" s="5">
        <f>SUM(Table1[[#This Row],[Travel]:[OTT]])</f>
        <v>10950</v>
      </c>
      <c r="M15" s="5">
        <f>SUM(Table1[[#This Row],[RD]:[EPF]])</f>
        <v>7800</v>
      </c>
      <c r="N15" s="5">
        <f>Table1[[#This Row],[Income]]-(Table1[[#This Row],[Total Expenses]]+Table1[[#This Row],[Total Investment]])</f>
        <v>6250</v>
      </c>
    </row>
  </sheetData>
  <mergeCells count="3">
    <mergeCell ref="H1:K1"/>
    <mergeCell ref="E1:G1"/>
    <mergeCell ref="C1:D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5B6"/>
  </sheetPr>
  <dimension ref="A1:L33"/>
  <sheetViews>
    <sheetView workbookViewId="0">
      <selection activeCell="K7" sqref="K7"/>
    </sheetView>
  </sheetViews>
  <sheetFormatPr defaultRowHeight="14.4" x14ac:dyDescent="0.3"/>
  <cols>
    <col min="1" max="1" width="10" style="80" bestFit="1" customWidth="1"/>
    <col min="2" max="3" width="14" style="80" bestFit="1" customWidth="1"/>
    <col min="4" max="4" width="19.109375" style="80" customWidth="1"/>
    <col min="5" max="5" width="10" style="80" bestFit="1" customWidth="1"/>
    <col min="6" max="6" width="14" style="80" customWidth="1"/>
    <col min="7" max="7" width="14" style="80" bestFit="1" customWidth="1"/>
    <col min="8" max="8" width="10" style="80" bestFit="1" customWidth="1"/>
    <col min="9" max="11" width="11" style="80" bestFit="1" customWidth="1"/>
    <col min="12" max="12" width="11" style="80" customWidth="1"/>
    <col min="13" max="16384" width="8.88671875" style="80"/>
  </cols>
  <sheetData>
    <row r="1" spans="1:11" ht="22.05" customHeight="1" x14ac:dyDescent="0.3">
      <c r="A1" s="77" t="s">
        <v>81</v>
      </c>
      <c r="B1" s="28"/>
      <c r="C1" s="28"/>
      <c r="D1" s="79"/>
      <c r="E1" s="77" t="s">
        <v>82</v>
      </c>
      <c r="F1" s="28"/>
      <c r="G1" s="28"/>
      <c r="H1" s="28"/>
      <c r="I1" s="28"/>
      <c r="J1" s="79"/>
      <c r="K1" s="79"/>
    </row>
    <row r="2" spans="1:11" ht="30" customHeight="1" x14ac:dyDescent="0.3">
      <c r="A2" s="8" t="s">
        <v>7</v>
      </c>
      <c r="B2" s="9" t="s">
        <v>57</v>
      </c>
      <c r="C2" s="9" t="s">
        <v>83</v>
      </c>
      <c r="D2" s="79"/>
      <c r="E2" s="9" t="s">
        <v>7</v>
      </c>
      <c r="F2" s="10" t="s">
        <v>53</v>
      </c>
      <c r="G2" s="9" t="s">
        <v>54</v>
      </c>
      <c r="H2" s="11" t="s">
        <v>55</v>
      </c>
      <c r="I2" s="9" t="s">
        <v>56</v>
      </c>
      <c r="J2" s="79"/>
      <c r="K2" s="79"/>
    </row>
    <row r="3" spans="1:11" x14ac:dyDescent="0.3">
      <c r="A3" s="12" t="s">
        <v>19</v>
      </c>
      <c r="B3" s="13">
        <v>0.1456521739130435</v>
      </c>
      <c r="C3" s="13">
        <v>0.51521739130434785</v>
      </c>
      <c r="D3" s="79"/>
      <c r="E3" s="12" t="s">
        <v>19</v>
      </c>
      <c r="F3" s="14">
        <v>23000</v>
      </c>
      <c r="G3" s="15">
        <v>11850</v>
      </c>
      <c r="H3" s="15">
        <v>7800</v>
      </c>
      <c r="I3" s="15">
        <v>3350</v>
      </c>
      <c r="J3" s="79"/>
      <c r="K3" s="79"/>
    </row>
    <row r="4" spans="1:11" x14ac:dyDescent="0.3">
      <c r="A4" s="16" t="s">
        <v>20</v>
      </c>
      <c r="B4" s="17">
        <v>0.1925217391304348</v>
      </c>
      <c r="C4" s="17">
        <v>0.46834782608695652</v>
      </c>
      <c r="D4" s="79"/>
      <c r="E4" s="16" t="s">
        <v>20</v>
      </c>
      <c r="F4" s="18">
        <v>23000</v>
      </c>
      <c r="G4" s="19">
        <v>10772</v>
      </c>
      <c r="H4" s="19">
        <v>7800</v>
      </c>
      <c r="I4" s="19">
        <v>4428</v>
      </c>
      <c r="J4" s="79"/>
      <c r="K4" s="79"/>
    </row>
    <row r="5" spans="1:11" x14ac:dyDescent="0.3">
      <c r="A5" s="12" t="s">
        <v>21</v>
      </c>
      <c r="B5" s="13">
        <v>2.8260869565217391E-2</v>
      </c>
      <c r="C5" s="13">
        <v>0.63260869565217392</v>
      </c>
      <c r="D5" s="79"/>
      <c r="E5" s="12" t="s">
        <v>21</v>
      </c>
      <c r="F5" s="14">
        <v>23000</v>
      </c>
      <c r="G5" s="15">
        <v>14550</v>
      </c>
      <c r="H5" s="15">
        <v>7800</v>
      </c>
      <c r="I5" s="15">
        <v>650</v>
      </c>
      <c r="J5" s="79"/>
      <c r="K5" s="79"/>
    </row>
    <row r="6" spans="1:11" x14ac:dyDescent="0.3">
      <c r="A6" s="16" t="s">
        <v>22</v>
      </c>
      <c r="B6" s="17">
        <v>0.312</v>
      </c>
      <c r="C6" s="17">
        <v>0.34886956521739132</v>
      </c>
      <c r="D6" s="79"/>
      <c r="E6" s="16" t="s">
        <v>22</v>
      </c>
      <c r="F6" s="18">
        <v>23000</v>
      </c>
      <c r="G6" s="19">
        <v>8024</v>
      </c>
      <c r="H6" s="19">
        <v>7800</v>
      </c>
      <c r="I6" s="19">
        <v>7176</v>
      </c>
      <c r="J6" s="79"/>
      <c r="K6" s="79"/>
    </row>
    <row r="7" spans="1:11" x14ac:dyDescent="0.3">
      <c r="A7" s="12" t="s">
        <v>23</v>
      </c>
      <c r="B7" s="13">
        <v>0.376</v>
      </c>
      <c r="C7" s="13">
        <v>0.312</v>
      </c>
      <c r="D7" s="79"/>
      <c r="E7" s="12" t="s">
        <v>23</v>
      </c>
      <c r="F7" s="14">
        <v>25000</v>
      </c>
      <c r="G7" s="15">
        <v>7800</v>
      </c>
      <c r="H7" s="15">
        <v>7800</v>
      </c>
      <c r="I7" s="15">
        <v>9400</v>
      </c>
      <c r="J7" s="79"/>
      <c r="K7" s="79"/>
    </row>
    <row r="8" spans="1:11" x14ac:dyDescent="0.3">
      <c r="A8" s="16" t="s">
        <v>24</v>
      </c>
      <c r="B8" s="17">
        <v>0.23648</v>
      </c>
      <c r="C8" s="17">
        <v>0.45151999999999998</v>
      </c>
      <c r="D8" s="79"/>
      <c r="E8" s="16" t="s">
        <v>24</v>
      </c>
      <c r="F8" s="18">
        <v>25000</v>
      </c>
      <c r="G8" s="19">
        <v>11288</v>
      </c>
      <c r="H8" s="19">
        <v>7800</v>
      </c>
      <c r="I8" s="19">
        <v>5912</v>
      </c>
      <c r="J8" s="79"/>
      <c r="K8" s="79"/>
    </row>
    <row r="9" spans="1:11" x14ac:dyDescent="0.3">
      <c r="A9" s="12" t="s">
        <v>26</v>
      </c>
      <c r="B9" s="13">
        <v>0.30475200000000002</v>
      </c>
      <c r="C9" s="13">
        <v>0.38324799999999998</v>
      </c>
      <c r="D9" s="79"/>
      <c r="E9" s="12" t="s">
        <v>26</v>
      </c>
      <c r="F9" s="14">
        <v>25000</v>
      </c>
      <c r="G9" s="15">
        <v>9581.2000000000007</v>
      </c>
      <c r="H9" s="15">
        <v>7800</v>
      </c>
      <c r="I9" s="15">
        <v>7618.7999999999993</v>
      </c>
      <c r="J9" s="79"/>
      <c r="K9" s="79"/>
    </row>
    <row r="10" spans="1:11" x14ac:dyDescent="0.3">
      <c r="A10" s="16" t="s">
        <v>27</v>
      </c>
      <c r="B10" s="17">
        <v>0.372</v>
      </c>
      <c r="C10" s="17">
        <v>0.316</v>
      </c>
      <c r="D10" s="79"/>
      <c r="E10" s="16" t="s">
        <v>27</v>
      </c>
      <c r="F10" s="18">
        <v>25000</v>
      </c>
      <c r="G10" s="19">
        <v>7900</v>
      </c>
      <c r="H10" s="19">
        <v>7800</v>
      </c>
      <c r="I10" s="19">
        <v>9300</v>
      </c>
      <c r="J10" s="79"/>
      <c r="K10" s="79"/>
    </row>
    <row r="11" spans="1:11" x14ac:dyDescent="0.3">
      <c r="A11" s="12" t="s">
        <v>28</v>
      </c>
      <c r="B11" s="13">
        <v>0.33600000000000002</v>
      </c>
      <c r="C11" s="13">
        <v>0.35199999999999998</v>
      </c>
      <c r="D11" s="79"/>
      <c r="E11" s="12" t="s">
        <v>28</v>
      </c>
      <c r="F11" s="14">
        <v>25000</v>
      </c>
      <c r="G11" s="15">
        <v>8800</v>
      </c>
      <c r="H11" s="15">
        <v>7800</v>
      </c>
      <c r="I11" s="15">
        <v>8400</v>
      </c>
      <c r="J11" s="79"/>
      <c r="K11" s="79"/>
    </row>
    <row r="12" spans="1:11" x14ac:dyDescent="0.3">
      <c r="A12" s="16" t="s">
        <v>29</v>
      </c>
      <c r="B12" s="17">
        <v>0.33</v>
      </c>
      <c r="C12" s="17">
        <v>0.35799999999999998</v>
      </c>
      <c r="D12" s="79"/>
      <c r="E12" s="16" t="s">
        <v>29</v>
      </c>
      <c r="F12" s="18">
        <v>25000</v>
      </c>
      <c r="G12" s="19">
        <v>8950</v>
      </c>
      <c r="H12" s="19">
        <v>7800</v>
      </c>
      <c r="I12" s="19">
        <v>8250</v>
      </c>
      <c r="J12" s="79"/>
      <c r="K12" s="79"/>
    </row>
    <row r="13" spans="1:11" x14ac:dyDescent="0.3">
      <c r="A13" s="12" t="s">
        <v>30</v>
      </c>
      <c r="B13" s="13">
        <v>0.27200000000000002</v>
      </c>
      <c r="C13" s="13">
        <v>0.41599999999999998</v>
      </c>
      <c r="D13" s="79"/>
      <c r="E13" s="12" t="s">
        <v>30</v>
      </c>
      <c r="F13" s="14">
        <v>25000</v>
      </c>
      <c r="G13" s="15">
        <v>10400</v>
      </c>
      <c r="H13" s="15">
        <v>7800</v>
      </c>
      <c r="I13" s="15">
        <v>6800</v>
      </c>
      <c r="J13" s="79"/>
      <c r="K13" s="79"/>
    </row>
    <row r="14" spans="1:11" x14ac:dyDescent="0.3">
      <c r="A14" s="16" t="s">
        <v>31</v>
      </c>
      <c r="B14" s="17">
        <v>0.25</v>
      </c>
      <c r="C14" s="17">
        <v>0.438</v>
      </c>
      <c r="D14" s="79"/>
      <c r="E14" s="16" t="s">
        <v>31</v>
      </c>
      <c r="F14" s="18">
        <v>25000</v>
      </c>
      <c r="G14" s="19">
        <v>10950</v>
      </c>
      <c r="H14" s="19">
        <v>7800</v>
      </c>
      <c r="I14" s="19">
        <v>6250</v>
      </c>
      <c r="J14" s="79"/>
      <c r="K14" s="79"/>
    </row>
    <row r="15" spans="1:11" ht="15" customHeight="1" thickBot="1" x14ac:dyDescent="0.35">
      <c r="A15" s="78" t="s">
        <v>84</v>
      </c>
      <c r="B15" s="21">
        <v>0.26297223188405799</v>
      </c>
      <c r="C15" s="21">
        <v>0.41598428985507252</v>
      </c>
      <c r="D15" s="79"/>
      <c r="E15" s="20" t="s">
        <v>85</v>
      </c>
      <c r="F15" s="22">
        <v>292000</v>
      </c>
      <c r="G15" s="22">
        <v>120865.2</v>
      </c>
      <c r="H15" s="22">
        <v>93600</v>
      </c>
      <c r="I15" s="22">
        <v>77534.8</v>
      </c>
      <c r="J15" s="79"/>
      <c r="K15" s="79"/>
    </row>
    <row r="16" spans="1:11" ht="15" customHeight="1" thickTop="1" x14ac:dyDescent="0.3">
      <c r="A16" s="79"/>
      <c r="B16" s="79"/>
      <c r="C16" s="79"/>
      <c r="D16" s="79"/>
      <c r="E16" s="79"/>
      <c r="F16" s="79"/>
      <c r="G16" s="79"/>
      <c r="H16" s="79"/>
      <c r="I16" s="79"/>
      <c r="J16" s="79"/>
      <c r="K16" s="79"/>
    </row>
    <row r="17" spans="1:12" ht="22.05" customHeight="1" x14ac:dyDescent="0.3">
      <c r="A17" s="77" t="s">
        <v>86</v>
      </c>
      <c r="B17" s="28"/>
      <c r="C17" s="28"/>
      <c r="D17" s="28"/>
      <c r="E17" s="28"/>
      <c r="F17" s="28"/>
      <c r="G17" s="79"/>
      <c r="H17" s="77" t="s">
        <v>87</v>
      </c>
      <c r="I17" s="28"/>
      <c r="J17" s="28"/>
      <c r="K17" s="28"/>
      <c r="L17" s="28"/>
    </row>
    <row r="18" spans="1:12" ht="30" customHeight="1" x14ac:dyDescent="0.3">
      <c r="A18" s="9" t="s">
        <v>7</v>
      </c>
      <c r="B18" s="9" t="s">
        <v>88</v>
      </c>
      <c r="C18" s="9" t="s">
        <v>89</v>
      </c>
      <c r="D18" s="9" t="s">
        <v>90</v>
      </c>
      <c r="E18" s="9" t="s">
        <v>91</v>
      </c>
      <c r="F18" s="9" t="s">
        <v>92</v>
      </c>
      <c r="G18" s="79"/>
      <c r="H18" s="9" t="s">
        <v>7</v>
      </c>
      <c r="I18" s="9" t="s">
        <v>93</v>
      </c>
      <c r="J18" s="9" t="s">
        <v>94</v>
      </c>
      <c r="K18" s="9" t="s">
        <v>95</v>
      </c>
      <c r="L18" s="9" t="s">
        <v>96</v>
      </c>
    </row>
    <row r="19" spans="1:12" x14ac:dyDescent="0.3">
      <c r="A19" s="23" t="s">
        <v>19</v>
      </c>
      <c r="B19" s="15">
        <v>3050</v>
      </c>
      <c r="C19" s="15">
        <v>2700</v>
      </c>
      <c r="D19" s="15">
        <v>5000</v>
      </c>
      <c r="E19" s="15">
        <v>350</v>
      </c>
      <c r="F19" s="15">
        <v>750</v>
      </c>
      <c r="G19" s="79"/>
      <c r="H19" s="12" t="s">
        <v>19</v>
      </c>
      <c r="I19" s="15">
        <v>2000</v>
      </c>
      <c r="J19" s="15">
        <v>2000</v>
      </c>
      <c r="K19" s="15">
        <v>2000</v>
      </c>
      <c r="L19" s="15">
        <v>1800</v>
      </c>
    </row>
    <row r="20" spans="1:12" x14ac:dyDescent="0.3">
      <c r="A20" s="16" t="s">
        <v>20</v>
      </c>
      <c r="B20" s="19">
        <v>3572</v>
      </c>
      <c r="C20" s="19">
        <v>1900</v>
      </c>
      <c r="D20" s="19">
        <v>4200</v>
      </c>
      <c r="E20" s="19">
        <v>350</v>
      </c>
      <c r="F20" s="19">
        <v>750</v>
      </c>
      <c r="G20" s="79"/>
      <c r="H20" s="16" t="s">
        <v>20</v>
      </c>
      <c r="I20" s="19">
        <v>2000</v>
      </c>
      <c r="J20" s="19">
        <v>2000</v>
      </c>
      <c r="K20" s="19">
        <v>2000</v>
      </c>
      <c r="L20" s="19">
        <v>1800</v>
      </c>
    </row>
    <row r="21" spans="1:12" x14ac:dyDescent="0.3">
      <c r="A21" s="12" t="s">
        <v>21</v>
      </c>
      <c r="B21" s="15">
        <v>2950</v>
      </c>
      <c r="C21" s="15">
        <v>4000</v>
      </c>
      <c r="D21" s="15">
        <v>6500</v>
      </c>
      <c r="E21" s="15">
        <v>350</v>
      </c>
      <c r="F21" s="15">
        <v>750</v>
      </c>
      <c r="G21" s="79"/>
      <c r="H21" s="12" t="s">
        <v>21</v>
      </c>
      <c r="I21" s="15">
        <v>2000</v>
      </c>
      <c r="J21" s="15">
        <v>2000</v>
      </c>
      <c r="K21" s="15">
        <v>2000</v>
      </c>
      <c r="L21" s="15">
        <v>1800</v>
      </c>
    </row>
    <row r="22" spans="1:12" x14ac:dyDescent="0.3">
      <c r="A22" s="16" t="s">
        <v>22</v>
      </c>
      <c r="B22" s="19">
        <v>3224</v>
      </c>
      <c r="C22" s="19">
        <v>2800</v>
      </c>
      <c r="D22" s="19">
        <v>900</v>
      </c>
      <c r="E22" s="19">
        <v>350</v>
      </c>
      <c r="F22" s="19">
        <v>750</v>
      </c>
      <c r="G22" s="79"/>
      <c r="H22" s="16" t="s">
        <v>22</v>
      </c>
      <c r="I22" s="19">
        <v>2000</v>
      </c>
      <c r="J22" s="19">
        <v>2000</v>
      </c>
      <c r="K22" s="19">
        <v>2000</v>
      </c>
      <c r="L22" s="19">
        <v>1800</v>
      </c>
    </row>
    <row r="23" spans="1:12" x14ac:dyDescent="0.3">
      <c r="A23" s="12" t="s">
        <v>23</v>
      </c>
      <c r="B23" s="15">
        <v>3580</v>
      </c>
      <c r="C23" s="15">
        <v>1720</v>
      </c>
      <c r="D23" s="15">
        <v>1400</v>
      </c>
      <c r="E23" s="15">
        <v>350</v>
      </c>
      <c r="F23" s="15">
        <v>750</v>
      </c>
      <c r="G23" s="79"/>
      <c r="H23" s="12" t="s">
        <v>23</v>
      </c>
      <c r="I23" s="15">
        <v>2000</v>
      </c>
      <c r="J23" s="15">
        <v>2000</v>
      </c>
      <c r="K23" s="15">
        <v>2000</v>
      </c>
      <c r="L23" s="15">
        <v>1800</v>
      </c>
    </row>
    <row r="24" spans="1:12" x14ac:dyDescent="0.3">
      <c r="A24" s="16" t="s">
        <v>24</v>
      </c>
      <c r="B24" s="19">
        <v>3488</v>
      </c>
      <c r="C24" s="19">
        <v>3500</v>
      </c>
      <c r="D24" s="19">
        <v>3200</v>
      </c>
      <c r="E24" s="19">
        <v>350</v>
      </c>
      <c r="F24" s="19">
        <v>750</v>
      </c>
      <c r="G24" s="79"/>
      <c r="H24" s="16" t="s">
        <v>24</v>
      </c>
      <c r="I24" s="19">
        <v>2000</v>
      </c>
      <c r="J24" s="19">
        <v>2000</v>
      </c>
      <c r="K24" s="19">
        <v>2000</v>
      </c>
      <c r="L24" s="19">
        <v>1800</v>
      </c>
    </row>
    <row r="25" spans="1:12" x14ac:dyDescent="0.3">
      <c r="A25" s="12" t="s">
        <v>26</v>
      </c>
      <c r="B25" s="15">
        <v>3631.2</v>
      </c>
      <c r="C25" s="15">
        <v>2800</v>
      </c>
      <c r="D25" s="15">
        <v>2050</v>
      </c>
      <c r="E25" s="15">
        <v>350</v>
      </c>
      <c r="F25" s="15">
        <v>750</v>
      </c>
      <c r="G25" s="79"/>
      <c r="H25" s="12" t="s">
        <v>26</v>
      </c>
      <c r="I25" s="15">
        <v>2000</v>
      </c>
      <c r="J25" s="15">
        <v>2000</v>
      </c>
      <c r="K25" s="15">
        <v>2000</v>
      </c>
      <c r="L25" s="15">
        <v>1800</v>
      </c>
    </row>
    <row r="26" spans="1:12" x14ac:dyDescent="0.3">
      <c r="A26" s="16" t="s">
        <v>27</v>
      </c>
      <c r="B26" s="19">
        <v>1650</v>
      </c>
      <c r="C26" s="19">
        <v>3100</v>
      </c>
      <c r="D26" s="19">
        <v>2050</v>
      </c>
      <c r="E26" s="19">
        <v>350</v>
      </c>
      <c r="F26" s="19">
        <v>750</v>
      </c>
      <c r="G26" s="79"/>
      <c r="H26" s="16" t="s">
        <v>27</v>
      </c>
      <c r="I26" s="19">
        <v>2000</v>
      </c>
      <c r="J26" s="19">
        <v>2000</v>
      </c>
      <c r="K26" s="19">
        <v>2000</v>
      </c>
      <c r="L26" s="19">
        <v>1800</v>
      </c>
    </row>
    <row r="27" spans="1:12" x14ac:dyDescent="0.3">
      <c r="A27" s="12" t="s">
        <v>28</v>
      </c>
      <c r="B27" s="15">
        <v>1500</v>
      </c>
      <c r="C27" s="15">
        <v>2700</v>
      </c>
      <c r="D27" s="15">
        <v>3500</v>
      </c>
      <c r="E27" s="15">
        <v>350</v>
      </c>
      <c r="F27" s="15">
        <v>750</v>
      </c>
      <c r="G27" s="79"/>
      <c r="H27" s="12" t="s">
        <v>28</v>
      </c>
      <c r="I27" s="15">
        <v>2000</v>
      </c>
      <c r="J27" s="15">
        <v>2000</v>
      </c>
      <c r="K27" s="15">
        <v>2000</v>
      </c>
      <c r="L27" s="15">
        <v>1800</v>
      </c>
    </row>
    <row r="28" spans="1:12" x14ac:dyDescent="0.3">
      <c r="A28" s="16" t="s">
        <v>29</v>
      </c>
      <c r="B28" s="19">
        <v>1350</v>
      </c>
      <c r="C28" s="19">
        <v>3000</v>
      </c>
      <c r="D28" s="19">
        <v>3500</v>
      </c>
      <c r="E28" s="19">
        <v>350</v>
      </c>
      <c r="F28" s="19">
        <v>750</v>
      </c>
      <c r="G28" s="79"/>
      <c r="H28" s="16" t="s">
        <v>29</v>
      </c>
      <c r="I28" s="19">
        <v>2000</v>
      </c>
      <c r="J28" s="19">
        <v>2000</v>
      </c>
      <c r="K28" s="19">
        <v>2000</v>
      </c>
      <c r="L28" s="19">
        <v>1800</v>
      </c>
    </row>
    <row r="29" spans="1:12" x14ac:dyDescent="0.3">
      <c r="A29" s="12" t="s">
        <v>30</v>
      </c>
      <c r="B29" s="15">
        <v>1200</v>
      </c>
      <c r="C29" s="15">
        <v>3100</v>
      </c>
      <c r="D29" s="15">
        <v>5000</v>
      </c>
      <c r="E29" s="15">
        <v>350</v>
      </c>
      <c r="F29" s="15">
        <v>750</v>
      </c>
      <c r="G29" s="79"/>
      <c r="H29" s="12" t="s">
        <v>30</v>
      </c>
      <c r="I29" s="15">
        <v>2000</v>
      </c>
      <c r="J29" s="15">
        <v>2000</v>
      </c>
      <c r="K29" s="15">
        <v>2000</v>
      </c>
      <c r="L29" s="15">
        <v>1800</v>
      </c>
    </row>
    <row r="30" spans="1:12" x14ac:dyDescent="0.3">
      <c r="A30" s="16" t="s">
        <v>31</v>
      </c>
      <c r="B30" s="19">
        <v>1750</v>
      </c>
      <c r="C30" s="19">
        <v>3600</v>
      </c>
      <c r="D30" s="19">
        <v>4500</v>
      </c>
      <c r="E30" s="19">
        <v>350</v>
      </c>
      <c r="F30" s="19">
        <v>750</v>
      </c>
      <c r="G30" s="79"/>
      <c r="H30" s="16" t="s">
        <v>31</v>
      </c>
      <c r="I30" s="19">
        <v>2000</v>
      </c>
      <c r="J30" s="19">
        <v>2000</v>
      </c>
      <c r="K30" s="19">
        <v>2000</v>
      </c>
      <c r="L30" s="19">
        <v>1800</v>
      </c>
    </row>
    <row r="31" spans="1:12" x14ac:dyDescent="0.3">
      <c r="A31" s="20" t="s">
        <v>85</v>
      </c>
      <c r="B31" s="22">
        <v>30945.200000000001</v>
      </c>
      <c r="C31" s="22">
        <v>34920</v>
      </c>
      <c r="D31" s="22">
        <v>41800</v>
      </c>
      <c r="E31" s="22">
        <v>4200</v>
      </c>
      <c r="F31" s="22">
        <v>9000</v>
      </c>
      <c r="G31" s="79"/>
      <c r="H31" s="20" t="s">
        <v>85</v>
      </c>
      <c r="I31" s="22">
        <v>24000</v>
      </c>
      <c r="J31" s="22">
        <v>24000</v>
      </c>
      <c r="K31" s="22">
        <v>24000</v>
      </c>
      <c r="L31" s="22">
        <v>21600</v>
      </c>
    </row>
    <row r="32" spans="1:12" x14ac:dyDescent="0.3">
      <c r="A32" s="79"/>
      <c r="B32" s="79"/>
      <c r="C32" s="79"/>
      <c r="D32" s="79"/>
      <c r="E32" s="79"/>
      <c r="F32" s="79"/>
      <c r="G32" s="79"/>
      <c r="H32" s="79"/>
      <c r="I32" s="79"/>
      <c r="J32" s="79"/>
      <c r="K32" s="79"/>
    </row>
    <row r="33" spans="1:11" x14ac:dyDescent="0.3">
      <c r="A33" s="79"/>
      <c r="B33" s="79"/>
      <c r="C33" s="79"/>
      <c r="D33" s="79"/>
      <c r="E33" s="79"/>
      <c r="F33" s="79"/>
      <c r="G33" s="79"/>
      <c r="H33" s="79"/>
      <c r="I33" s="79"/>
      <c r="J33" s="79"/>
      <c r="K33" s="79"/>
    </row>
  </sheetData>
  <mergeCells count="5">
    <mergeCell ref="E1:I1"/>
    <mergeCell ref="H17:L17"/>
    <mergeCell ref="A17:F17"/>
    <mergeCell ref="A1:C1"/>
    <mergeCell ref="A15"/>
  </mergeCells>
  <conditionalFormatting sqref="F2:F14">
    <cfRule type="dataBar" priority="7">
      <dataBar>
        <cfvo type="min"/>
        <cfvo type="max"/>
        <color rgb="FF63C384"/>
      </dataBar>
    </cfRule>
  </conditionalFormatting>
  <conditionalFormatting sqref="B3:B16">
    <cfRule type="dataBar" priority="5">
      <dataBar>
        <cfvo type="min"/>
        <cfvo type="max"/>
        <color rgb="FFFF555A"/>
      </dataBar>
    </cfRule>
  </conditionalFormatting>
  <conditionalFormatting sqref="A3:A16">
    <cfRule type="dataBar" priority="4">
      <dataBar>
        <cfvo type="min"/>
        <cfvo type="max"/>
        <color rgb="FF638EC6"/>
      </dataBar>
    </cfRule>
  </conditionalFormatting>
  <conditionalFormatting pivot="1" sqref="I3:I14">
    <cfRule type="iconSet" priority="2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Personal finances</vt:lpstr>
      <vt:lpstr>Pivots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Sanskruti Chavan</dc:creator>
  <cp:lastModifiedBy>Sanskruti Chavan</cp:lastModifiedBy>
  <dcterms:created xsi:type="dcterms:W3CDTF">2026-04-01T09:37:49Z</dcterms:created>
  <dcterms:modified xsi:type="dcterms:W3CDTF">2026-04-01T11:50:32Z</dcterms:modified>
</cp:coreProperties>
</file>